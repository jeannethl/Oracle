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pprwrepbin\DATA\ADSI\JESSIKA\DB_Informes_otros\"/>
    </mc:Choice>
  </mc:AlternateContent>
  <bookViews>
    <workbookView xWindow="0" yWindow="0" windowWidth="28800" windowHeight="1218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6" i="2" l="1"/>
  <c r="D210" i="2"/>
  <c r="D211" i="2"/>
  <c r="E207" i="2"/>
  <c r="H156" i="2"/>
  <c r="D160" i="2"/>
  <c r="D161" i="2"/>
  <c r="D162" i="2"/>
  <c r="D159" i="2"/>
  <c r="D155" i="2"/>
  <c r="Q73" i="2"/>
  <c r="Q134" i="2" s="1"/>
  <c r="D157" i="2"/>
  <c r="M144" i="2"/>
  <c r="Q81" i="2"/>
  <c r="O152" i="2"/>
  <c r="O148" i="2"/>
  <c r="P145" i="2"/>
  <c r="S5" i="2"/>
  <c r="Q9" i="2"/>
  <c r="Q5" i="2"/>
  <c r="K152" i="2"/>
  <c r="K153" i="2"/>
  <c r="J152" i="2"/>
  <c r="Q132" i="2"/>
  <c r="Q128" i="2"/>
  <c r="Q121" i="2"/>
  <c r="Q113" i="2"/>
  <c r="M134" i="2"/>
  <c r="P46" i="1"/>
  <c r="P44" i="1"/>
  <c r="N44" i="1"/>
  <c r="E163" i="2" l="1"/>
</calcChain>
</file>

<file path=xl/sharedStrings.xml><?xml version="1.0" encoding="utf-8"?>
<sst xmlns="http://schemas.openxmlformats.org/spreadsheetml/2006/main" count="1162" uniqueCount="485">
  <si>
    <t>HEADER_STATUS</t>
  </si>
  <si>
    <t>-------------</t>
  </si>
  <si>
    <t xml:space="preserve">MEMBER       </t>
  </si>
  <si>
    <t xml:space="preserve">NAME        </t>
  </si>
  <si>
    <t>------------</t>
  </si>
  <si>
    <t xml:space="preserve">            </t>
  </si>
  <si>
    <t>DG_DATA_0004</t>
  </si>
  <si>
    <t>DG_DATA_0002</t>
  </si>
  <si>
    <t>DG_DATA_0003</t>
  </si>
  <si>
    <t>DG_DATA_0005</t>
  </si>
  <si>
    <t>DG_DATA_0006</t>
  </si>
  <si>
    <t>DG_DATA_0007</t>
  </si>
  <si>
    <t>DG_DATA_0008</t>
  </si>
  <si>
    <t>DG_DATA_0009</t>
  </si>
  <si>
    <t xml:space="preserve">DG_AUDIT1   </t>
  </si>
  <si>
    <t xml:space="preserve">DG_DATA1    </t>
  </si>
  <si>
    <t xml:space="preserve">DG_DATA2    </t>
  </si>
  <si>
    <t xml:space="preserve">DG_DATA3    </t>
  </si>
  <si>
    <t xml:space="preserve">DG_DATA4    </t>
  </si>
  <si>
    <t xml:space="preserve">DG_DATA5    </t>
  </si>
  <si>
    <t xml:space="preserve">DG_DATA6    </t>
  </si>
  <si>
    <t xml:space="preserve">DG_DATA7    </t>
  </si>
  <si>
    <t xml:space="preserve">DG_DATA8    </t>
  </si>
  <si>
    <t xml:space="preserve">DG_OCRVOTE1 </t>
  </si>
  <si>
    <t xml:space="preserve">DG_OCRVOTE2 </t>
  </si>
  <si>
    <t xml:space="preserve">DG_OCRVOTE3 </t>
  </si>
  <si>
    <t xml:space="preserve">FRA1        </t>
  </si>
  <si>
    <t xml:space="preserve">FRA2        </t>
  </si>
  <si>
    <t xml:space="preserve">FRA3        </t>
  </si>
  <si>
    <t xml:space="preserve">REDO1       </t>
  </si>
  <si>
    <t xml:space="preserve">REDO2       </t>
  </si>
  <si>
    <t xml:space="preserve">REDO3       </t>
  </si>
  <si>
    <t xml:space="preserve">PATH                </t>
  </si>
  <si>
    <t>--------------------</t>
  </si>
  <si>
    <t xml:space="preserve">/dev/rdsk/c1d10s6   </t>
  </si>
  <si>
    <t xml:space="preserve">/dev/rdsk/c1d11s6   </t>
  </si>
  <si>
    <t xml:space="preserve">/dev/rdsk/c1d12s6   </t>
  </si>
  <si>
    <t xml:space="preserve">/dev/rdsk/c1d13s6   </t>
  </si>
  <si>
    <t xml:space="preserve">/dev/rdsk/c1d14s6   </t>
  </si>
  <si>
    <t xml:space="preserve">/dev/rdsk/c1d15s6   </t>
  </si>
  <si>
    <t xml:space="preserve">/dev/rdsk/c1d16s6   </t>
  </si>
  <si>
    <t xml:space="preserve">/dev/rdsk/c1d17s6   </t>
  </si>
  <si>
    <t xml:space="preserve">/dev/rdsk/c1d18s6   </t>
  </si>
  <si>
    <t xml:space="preserve">/dev/rdsk/c1d19s6   </t>
  </si>
  <si>
    <t xml:space="preserve">/dev/rdsk/c1d20s6   </t>
  </si>
  <si>
    <t xml:space="preserve">/dev/rdsk/c1d21s6   </t>
  </si>
  <si>
    <t xml:space="preserve">/dev/rdsk/c1d22s6   </t>
  </si>
  <si>
    <t xml:space="preserve">/dev/rdsk/c1d24s6   </t>
  </si>
  <si>
    <t xml:space="preserve">/dev/rdsk/c1d25s6   </t>
  </si>
  <si>
    <t xml:space="preserve">/dev/rdsk/c1d26s6   </t>
  </si>
  <si>
    <t xml:space="preserve">/dev/rdsk/c1d27s6   </t>
  </si>
  <si>
    <t xml:space="preserve">/dev/rdsk/c1d30s6   </t>
  </si>
  <si>
    <t xml:space="preserve">/dev/rdsk/c1d31s6   </t>
  </si>
  <si>
    <t xml:space="preserve">/dev/rdsk/c1d32s6   </t>
  </si>
  <si>
    <t xml:space="preserve">/dev/rdsk/c1d33s6   </t>
  </si>
  <si>
    <t xml:space="preserve">/dev/rdsk/c1d34s6   </t>
  </si>
  <si>
    <t xml:space="preserve">/dev/rdsk/c1d3s6    </t>
  </si>
  <si>
    <t xml:space="preserve">/dev/rdsk/c1d4s6    </t>
  </si>
  <si>
    <t xml:space="preserve">/dev/rdsk/c1d8s6    </t>
  </si>
  <si>
    <t xml:space="preserve">/dev/rdsk/c1d9s6    </t>
  </si>
  <si>
    <t xml:space="preserve">AFD:DG_AUDIT1       </t>
  </si>
  <si>
    <t xml:space="preserve">AFD:DG_DATA1        </t>
  </si>
  <si>
    <t xml:space="preserve">AFD:DG_DATA2        </t>
  </si>
  <si>
    <t xml:space="preserve">AFD:DG_DATA3        </t>
  </si>
  <si>
    <t xml:space="preserve">AFD:DG_DATA4        </t>
  </si>
  <si>
    <t xml:space="preserve">AFD:DG_DATA5        </t>
  </si>
  <si>
    <t xml:space="preserve">AFD:DG_DATA6        </t>
  </si>
  <si>
    <t xml:space="preserve">AFD:DG_DATA7        </t>
  </si>
  <si>
    <t xml:space="preserve">AFD:DG_DATA8        </t>
  </si>
  <si>
    <t xml:space="preserve">AFD:DG_OCRVOTE1     </t>
  </si>
  <si>
    <t xml:space="preserve">AFD:DG_OCRVOTE2     </t>
  </si>
  <si>
    <t xml:space="preserve">AFD:DG_OCRVOTE3     </t>
  </si>
  <si>
    <t xml:space="preserve">AFD:FRA1            </t>
  </si>
  <si>
    <t xml:space="preserve">AFD:FRA2            </t>
  </si>
  <si>
    <t xml:space="preserve">AFD:FRA3            </t>
  </si>
  <si>
    <t xml:space="preserve">AFD:REDO1           </t>
  </si>
  <si>
    <t xml:space="preserve">AFD:REDO2           </t>
  </si>
  <si>
    <t xml:space="preserve">AFD:REDO3           </t>
  </si>
  <si>
    <t xml:space="preserve">STATE </t>
  </si>
  <si>
    <t>------</t>
  </si>
  <si>
    <t>NORMAL</t>
  </si>
  <si>
    <t>File Size (MB)</t>
  </si>
  <si>
    <t>--------------</t>
  </si>
  <si>
    <t>FREE_MB</t>
  </si>
  <si>
    <t>-------</t>
  </si>
  <si>
    <t xml:space="preserve"> OS_MB</t>
  </si>
  <si>
    <t>DISCOS CCENLNP</t>
  </si>
  <si>
    <t>2 -100</t>
  </si>
  <si>
    <t>GROUP_NUMBER</t>
  </si>
  <si>
    <t xml:space="preserve">NAME      </t>
  </si>
  <si>
    <t xml:space="preserve">DG_AUDIT  </t>
  </si>
  <si>
    <t xml:space="preserve">DG_DATA   </t>
  </si>
  <si>
    <t>DG_OCRVOTE</t>
  </si>
  <si>
    <t xml:space="preserve">DG_REDO   </t>
  </si>
  <si>
    <t xml:space="preserve">FRA       </t>
  </si>
  <si>
    <t xml:space="preserve">STATE  </t>
  </si>
  <si>
    <t>MOUNTED</t>
  </si>
  <si>
    <t xml:space="preserve">TYPE  </t>
  </si>
  <si>
    <t>EXTERN</t>
  </si>
  <si>
    <t>TOTAL_MB</t>
  </si>
  <si>
    <t>--------</t>
  </si>
  <si>
    <t>1 disco de 50 GB</t>
  </si>
  <si>
    <t>7 discos de 500 GB</t>
  </si>
  <si>
    <t>3 discos de 50 GB</t>
  </si>
  <si>
    <t>3 discos de 10 GB</t>
  </si>
  <si>
    <t xml:space="preserve">HEADER_STATUS   </t>
  </si>
  <si>
    <t>----------------</t>
  </si>
  <si>
    <t xml:space="preserve">MEMBER          </t>
  </si>
  <si>
    <t xml:space="preserve">NAME          </t>
  </si>
  <si>
    <t xml:space="preserve">              </t>
  </si>
  <si>
    <t xml:space="preserve">DG_REDO1005   </t>
  </si>
  <si>
    <t xml:space="preserve">DG_REDO1006   </t>
  </si>
  <si>
    <t xml:space="preserve">DG_REDO1007   </t>
  </si>
  <si>
    <t xml:space="preserve">DG_REDO1008   </t>
  </si>
  <si>
    <t xml:space="preserve">DG_REDO1009   </t>
  </si>
  <si>
    <t xml:space="preserve">DG_REDO2005   </t>
  </si>
  <si>
    <t xml:space="preserve">DG_REDO2006   </t>
  </si>
  <si>
    <t xml:space="preserve">DG_REDO2007   </t>
  </si>
  <si>
    <t xml:space="preserve">DG_REDO2008   </t>
  </si>
  <si>
    <t xml:space="preserve">DG_REDO2009   </t>
  </si>
  <si>
    <t xml:space="preserve">DG_REDO3005   </t>
  </si>
  <si>
    <t xml:space="preserve">DG_REDO3006   </t>
  </si>
  <si>
    <t xml:space="preserve">DG_REDO3007   </t>
  </si>
  <si>
    <t xml:space="preserve">DG_REDO3008   </t>
  </si>
  <si>
    <t xml:space="preserve">DG_REDO3009   </t>
  </si>
  <si>
    <t xml:space="preserve">DG_REDO4005   </t>
  </si>
  <si>
    <t xml:space="preserve">DG_REDO4006   </t>
  </si>
  <si>
    <t xml:space="preserve">DG_REDO4007   </t>
  </si>
  <si>
    <t xml:space="preserve">DG_REDO4008   </t>
  </si>
  <si>
    <t xml:space="preserve">DG_REDO4009   </t>
  </si>
  <si>
    <t xml:space="preserve">DG_DATA_0048  </t>
  </si>
  <si>
    <t xml:space="preserve">DG_DATA_0049  </t>
  </si>
  <si>
    <t xml:space="preserve">DG_DATA_0050  </t>
  </si>
  <si>
    <t xml:space="preserve">DG_DATA_0051  </t>
  </si>
  <si>
    <t xml:space="preserve">DG_DATA_0052  </t>
  </si>
  <si>
    <t xml:space="preserve">DG_DATA_0053  </t>
  </si>
  <si>
    <t xml:space="preserve">DG_DATA_0054  </t>
  </si>
  <si>
    <t xml:space="preserve">DG_DATA_0055  </t>
  </si>
  <si>
    <t xml:space="preserve">DG_DATA_0056  </t>
  </si>
  <si>
    <t xml:space="preserve">DG_DATA_0057  </t>
  </si>
  <si>
    <t xml:space="preserve">DG_DATA_0058  </t>
  </si>
  <si>
    <t xml:space="preserve">DG_DATA_0059  </t>
  </si>
  <si>
    <t xml:space="preserve">DG_DATA_0060  </t>
  </si>
  <si>
    <t xml:space="preserve">DG_DATA_0061  </t>
  </si>
  <si>
    <t xml:space="preserve">DG_DATA_0062  </t>
  </si>
  <si>
    <t xml:space="preserve">DG_DATA_11001 </t>
  </si>
  <si>
    <t xml:space="preserve">DG_DATA_12001 </t>
  </si>
  <si>
    <t xml:space="preserve">DG_DATA_13001 </t>
  </si>
  <si>
    <t xml:space="preserve">DG_DATA_14001 </t>
  </si>
  <si>
    <t xml:space="preserve">DG_DATA_15001 </t>
  </si>
  <si>
    <t xml:space="preserve">DG_DATA_16001 </t>
  </si>
  <si>
    <t xml:space="preserve">DG_ASM000     </t>
  </si>
  <si>
    <t xml:space="preserve">DG_DATA0001   </t>
  </si>
  <si>
    <t>DG_DATA0180001</t>
  </si>
  <si>
    <t>DG_DATA0190001</t>
  </si>
  <si>
    <t>DG_DATA0200001</t>
  </si>
  <si>
    <t>DG_DATA0210001</t>
  </si>
  <si>
    <t>DG_DATA0220001</t>
  </si>
  <si>
    <t>DG_DATA0230001</t>
  </si>
  <si>
    <t>DG_DATA0240001</t>
  </si>
  <si>
    <t>DG_DATA0250001</t>
  </si>
  <si>
    <t>DG_DATA0260001</t>
  </si>
  <si>
    <t>DG_DATA0270001</t>
  </si>
  <si>
    <t>DG_DATA0280001</t>
  </si>
  <si>
    <t>DG_DATA0290001</t>
  </si>
  <si>
    <t xml:space="preserve">DG_DATA1      </t>
  </si>
  <si>
    <t xml:space="preserve">DG_DATA100001 </t>
  </si>
  <si>
    <t xml:space="preserve">DG_DATA110001 </t>
  </si>
  <si>
    <t xml:space="preserve">DG_DATA120001 </t>
  </si>
  <si>
    <t xml:space="preserve">DG_DATA130001 </t>
  </si>
  <si>
    <t xml:space="preserve">DG_DATA140001 </t>
  </si>
  <si>
    <t xml:space="preserve">DG_DATA150001 </t>
  </si>
  <si>
    <t xml:space="preserve">DG_DATA160001 </t>
  </si>
  <si>
    <t xml:space="preserve">DG_DATA170001 </t>
  </si>
  <si>
    <t xml:space="preserve">DG_DATA180001 </t>
  </si>
  <si>
    <t xml:space="preserve">DG_DATA190001 </t>
  </si>
  <si>
    <t xml:space="preserve">DG_DATA2      </t>
  </si>
  <si>
    <t xml:space="preserve">DG_DATA200001 </t>
  </si>
  <si>
    <t xml:space="preserve">DG_DATA210001 </t>
  </si>
  <si>
    <t xml:space="preserve">DG_DATA220001 </t>
  </si>
  <si>
    <t xml:space="preserve">DG_DATA230001 </t>
  </si>
  <si>
    <t xml:space="preserve">DG_DATA240001 </t>
  </si>
  <si>
    <t xml:space="preserve">DG_DATA3      </t>
  </si>
  <si>
    <t xml:space="preserve">DG_DATA320008 </t>
  </si>
  <si>
    <t xml:space="preserve">DG_DATA330007 </t>
  </si>
  <si>
    <t xml:space="preserve">DG_DATA340006 </t>
  </si>
  <si>
    <t xml:space="preserve">DG_DATA350005 </t>
  </si>
  <si>
    <t xml:space="preserve">DG_DATA360004 </t>
  </si>
  <si>
    <t xml:space="preserve">DG_DATA370003 </t>
  </si>
  <si>
    <t xml:space="preserve">DG_DATA380002 </t>
  </si>
  <si>
    <t xml:space="preserve">DG_DATA390001 </t>
  </si>
  <si>
    <t xml:space="preserve">DG_DATA4      </t>
  </si>
  <si>
    <t xml:space="preserve">DG_DATA_10001 </t>
  </si>
  <si>
    <t xml:space="preserve">DG_DATA_20001 </t>
  </si>
  <si>
    <t xml:space="preserve">DG_DATA_40001 </t>
  </si>
  <si>
    <t xml:space="preserve">DG_DATA_50001 </t>
  </si>
  <si>
    <t xml:space="preserve">DG_DATA_60001 </t>
  </si>
  <si>
    <t xml:space="preserve">DG_DATA_70001 </t>
  </si>
  <si>
    <t xml:space="preserve">DG_DATA_80001 </t>
  </si>
  <si>
    <t xml:space="preserve">DG_DATA_90001 </t>
  </si>
  <si>
    <t xml:space="preserve">DG_ENTRY000   </t>
  </si>
  <si>
    <t xml:space="preserve">DG_ENTRY0001  </t>
  </si>
  <si>
    <t xml:space="preserve">DG_ENTRY0002  </t>
  </si>
  <si>
    <t xml:space="preserve">DG_ENTRY001   </t>
  </si>
  <si>
    <t xml:space="preserve">DG_ENTRY002   </t>
  </si>
  <si>
    <t xml:space="preserve">DG_ENTRY003   </t>
  </si>
  <si>
    <t xml:space="preserve">DG_ENTRY004   </t>
  </si>
  <si>
    <t xml:space="preserve">DG_ENTRY005   </t>
  </si>
  <si>
    <t xml:space="preserve">DG_MODEL_0001 </t>
  </si>
  <si>
    <t xml:space="preserve">DG_MODEL_0002 </t>
  </si>
  <si>
    <t xml:space="preserve">DG_MODEL_0003 </t>
  </si>
  <si>
    <t xml:space="preserve">DG_REDO1000   </t>
  </si>
  <si>
    <t xml:space="preserve">DG_REDO1001   </t>
  </si>
  <si>
    <t xml:space="preserve">DG_REDO1002   </t>
  </si>
  <si>
    <t xml:space="preserve">DG_REDO1003   </t>
  </si>
  <si>
    <t xml:space="preserve">DG_REDO1004   </t>
  </si>
  <si>
    <t xml:space="preserve">DG_REDO2000   </t>
  </si>
  <si>
    <t xml:space="preserve">DG_REDO2001   </t>
  </si>
  <si>
    <t xml:space="preserve">DG_REDO2002   </t>
  </si>
  <si>
    <t xml:space="preserve">DG_REDO2003   </t>
  </si>
  <si>
    <t xml:space="preserve">DG_REDO2004   </t>
  </si>
  <si>
    <t xml:space="preserve">DG_REDO3000   </t>
  </si>
  <si>
    <t xml:space="preserve">DG_REDO3001   </t>
  </si>
  <si>
    <t xml:space="preserve">DG_REDO3002   </t>
  </si>
  <si>
    <t xml:space="preserve">DG_REDO3003   </t>
  </si>
  <si>
    <t xml:space="preserve">DG_REDO3004   </t>
  </si>
  <si>
    <t xml:space="preserve">DG_REDO4000   </t>
  </si>
  <si>
    <t xml:space="preserve">DG_REDO4001   </t>
  </si>
  <si>
    <t xml:space="preserve">DG_REDO4002   </t>
  </si>
  <si>
    <t xml:space="preserve">DG_REDO4003   </t>
  </si>
  <si>
    <t xml:space="preserve">DG_REDO4004   </t>
  </si>
  <si>
    <t xml:space="preserve">FRA000        </t>
  </si>
  <si>
    <t xml:space="preserve">FRA001        </t>
  </si>
  <si>
    <t xml:space="preserve">FRA002        </t>
  </si>
  <si>
    <t xml:space="preserve">FRA003        </t>
  </si>
  <si>
    <t xml:space="preserve">FRA004        </t>
  </si>
  <si>
    <t xml:space="preserve">FRA005        </t>
  </si>
  <si>
    <t xml:space="preserve">FRA006        </t>
  </si>
  <si>
    <t xml:space="preserve">PATH              </t>
  </si>
  <si>
    <t>------------------</t>
  </si>
  <si>
    <t>/dev/rdsk/c1d119s6</t>
  </si>
  <si>
    <t>/dev/rdsk/c1d126s6</t>
  </si>
  <si>
    <t>/dev/rdsk/c1d127s6</t>
  </si>
  <si>
    <t>/dev/rdsk/c1d128s6</t>
  </si>
  <si>
    <t>/dev/rdsk/c1d129s6</t>
  </si>
  <si>
    <t>/dev/rdsk/c1d130s6</t>
  </si>
  <si>
    <t>/dev/rdsk/c1d131s6</t>
  </si>
  <si>
    <t>/dev/rdsk/c1d138s6</t>
  </si>
  <si>
    <t>/dev/rdsk/c1d139s6</t>
  </si>
  <si>
    <t>/dev/rdsk/c1d140s6</t>
  </si>
  <si>
    <t>/dev/rdsk/c1d141s6</t>
  </si>
  <si>
    <t>/dev/rdsk/c1d142s6</t>
  </si>
  <si>
    <t>/dev/rdsk/c1d143s6</t>
  </si>
  <si>
    <t>/dev/rdsk/c1d144s6</t>
  </si>
  <si>
    <t>/dev/rdsk/c1d145s6</t>
  </si>
  <si>
    <t>/dev/rdsk/c1d146s6</t>
  </si>
  <si>
    <t>/dev/rdsk/c1d147s6</t>
  </si>
  <si>
    <t>/dev/rdsk/c1d148s6</t>
  </si>
  <si>
    <t>/dev/rdsk/c1d149s6</t>
  </si>
  <si>
    <t>/dev/rdsk/c1d150s6</t>
  </si>
  <si>
    <t>/dev/rdsk/c1d151s6</t>
  </si>
  <si>
    <t>/dev/rdsk/c1d152s6</t>
  </si>
  <si>
    <t>/dev/rdsk/c1d153s6</t>
  </si>
  <si>
    <t>/dev/rdsk/c1d154s6</t>
  </si>
  <si>
    <t>/dev/rdsk/c1d155s6</t>
  </si>
  <si>
    <t>/dev/rdsk/c1d156s6</t>
  </si>
  <si>
    <t>/dev/rdsk/c1d157s6</t>
  </si>
  <si>
    <t>/dev/rdsk/c1d158s6</t>
  </si>
  <si>
    <t>/dev/rdsk/c1d159s6</t>
  </si>
  <si>
    <t>/dev/rdsk/c1d161s6</t>
  </si>
  <si>
    <t>/dev/rdsk/c1d162s6</t>
  </si>
  <si>
    <t>/dev/rdsk/c1d163s6</t>
  </si>
  <si>
    <t>/dev/rdsk/c1d164s6</t>
  </si>
  <si>
    <t>/dev/rdsk/c1d165s6</t>
  </si>
  <si>
    <t>/dev/rdsk/c1d190s6</t>
  </si>
  <si>
    <t>/dev/rdsk/c1d191s6</t>
  </si>
  <si>
    <t>/dev/rdsk/c1d192s6</t>
  </si>
  <si>
    <t>/dev/rdsk/c1d197s6</t>
  </si>
  <si>
    <t>/dev/rdsk/c1d198s6</t>
  </si>
  <si>
    <t>/dev/rdsk/c1d199s6</t>
  </si>
  <si>
    <t>/dev/rdsk/c1d200s6</t>
  </si>
  <si>
    <t>/dev/rdsk/c1d201s6</t>
  </si>
  <si>
    <t>/dev/rdsk/c1d202s6</t>
  </si>
  <si>
    <t>/dev/rdsk/c1d203s6</t>
  </si>
  <si>
    <t>/dev/rdsk/c1d204s6</t>
  </si>
  <si>
    <t>/dev/rdsk/c1d205s6</t>
  </si>
  <si>
    <t>/dev/rdsk/c1d206s6</t>
  </si>
  <si>
    <t>/dev/rdsk/c1d207s6</t>
  </si>
  <si>
    <t>/dev/rdsk/c1d208s6</t>
  </si>
  <si>
    <t>/dev/rdsk/c1d209s6</t>
  </si>
  <si>
    <t>/dev/rdsk/c1d210s6</t>
  </si>
  <si>
    <t>/dev/rdsk/c1d211s6</t>
  </si>
  <si>
    <t>/dev/rdsk/c1d212s6</t>
  </si>
  <si>
    <t>/dev/rdsk/c1d213s6</t>
  </si>
  <si>
    <t>/dev/rdsk/c1d214s6</t>
  </si>
  <si>
    <t>/dev/rdsk/c1d215s6</t>
  </si>
  <si>
    <t>/dev/rdsk/c1d216s6</t>
  </si>
  <si>
    <t>/dev/rdsk/c1d217s6</t>
  </si>
  <si>
    <t>/dev/rdsk/c1d218s6</t>
  </si>
  <si>
    <t>/dev/rdsk/c1d219s6</t>
  </si>
  <si>
    <t>/dev/rdsk/c1d220s6</t>
  </si>
  <si>
    <t>/dev/rdsk/c1d221s6</t>
  </si>
  <si>
    <t>/dev/rdsk/c1d222s6</t>
  </si>
  <si>
    <t>/dev/rdsk/c1d223s6</t>
  </si>
  <si>
    <t>/dev/rdsk/c1d224s6</t>
  </si>
  <si>
    <t>/dev/rdsk/c1d225s6</t>
  </si>
  <si>
    <t>/dev/rdsk/c1d226s6</t>
  </si>
  <si>
    <t>/dev/rdsk/c1d227s6</t>
  </si>
  <si>
    <t>/dev/rdsk/c1d228s6</t>
  </si>
  <si>
    <t>/dev/rdsk/c1d229s6</t>
  </si>
  <si>
    <t>/dev/rdsk/c1d232s6</t>
  </si>
  <si>
    <t>/dev/rdsk/c1d233s6</t>
  </si>
  <si>
    <t>/dev/rdsk/c1d234s6</t>
  </si>
  <si>
    <t>/dev/rdsk/c1d235s6</t>
  </si>
  <si>
    <t>/dev/rdsk/c1d236s6</t>
  </si>
  <si>
    <t>/dev/rdsk/c1d237s6</t>
  </si>
  <si>
    <t>/dev/rdsk/c1d238s6</t>
  </si>
  <si>
    <t>/dev/rdsk/c1d239s6</t>
  </si>
  <si>
    <t>/dev/rdsk/c1d241s6</t>
  </si>
  <si>
    <t>/dev/rdsk/c1d242s6</t>
  </si>
  <si>
    <t>/dev/rdsk/c1d243s6</t>
  </si>
  <si>
    <t>/dev/rdsk/c1d244s6</t>
  </si>
  <si>
    <t>/dev/rdsk/c1d245s6</t>
  </si>
  <si>
    <t>/dev/rdsk/c1d246s6</t>
  </si>
  <si>
    <t>/dev/rdsk/c1d247s6</t>
  </si>
  <si>
    <t>/dev/rdsk/c1d248s6</t>
  </si>
  <si>
    <t>/dev/rdsk/c1d249s6</t>
  </si>
  <si>
    <t>/dev/rdsk/c1d252s6</t>
  </si>
  <si>
    <t>/dev/rdsk/c1d253s6</t>
  </si>
  <si>
    <t>/dev/rdsk/c1d254s6</t>
  </si>
  <si>
    <t>/dev/rdsk/c1d255s6</t>
  </si>
  <si>
    <t>/dev/rdsk/c1d256s6</t>
  </si>
  <si>
    <t>/dev/rdsk/c1d257s6</t>
  </si>
  <si>
    <t>/dev/rdsk/c1d258s6</t>
  </si>
  <si>
    <t>/dev/rdsk/c1d259s6</t>
  </si>
  <si>
    <t>/dev/rdsk/c1d260s6</t>
  </si>
  <si>
    <t>/dev/rdsk/c1d261s6</t>
  </si>
  <si>
    <t>/dev/rdsk/c1d262s6</t>
  </si>
  <si>
    <t>/dev/rdsk/c1d263s6</t>
  </si>
  <si>
    <t>/dev/rdsk/c1d264s6</t>
  </si>
  <si>
    <t>/dev/rdsk/c1d265s6</t>
  </si>
  <si>
    <t>/dev/rdsk/c1d266s6</t>
  </si>
  <si>
    <t>/dev/rdsk/c1d267s6</t>
  </si>
  <si>
    <t>/dev/rdsk/c1d268s6</t>
  </si>
  <si>
    <t>/dev/rdsk/c1d269s6</t>
  </si>
  <si>
    <t>/dev/rdsk/c1d270s6</t>
  </si>
  <si>
    <t>/dev/rdsk/c1d271s6</t>
  </si>
  <si>
    <t>/dev/rdsk/c1d272s6</t>
  </si>
  <si>
    <t>/dev/rdsk/c1d273s6</t>
  </si>
  <si>
    <t>/dev/rdsk/c1d274s6</t>
  </si>
  <si>
    <t>/dev/rdsk/c1d275s6</t>
  </si>
  <si>
    <t>/dev/rdsk/c1d276s6</t>
  </si>
  <si>
    <t>/dev/rdsk/c1d277s6</t>
  </si>
  <si>
    <t>/dev/rdsk/c1d278s6</t>
  </si>
  <si>
    <t>/dev/rdsk/c1d279s6</t>
  </si>
  <si>
    <t>/dev/rdsk/c1d281s6</t>
  </si>
  <si>
    <t>/dev/rdsk/c1d282s6</t>
  </si>
  <si>
    <t>/dev/rdsk/c1d283s6</t>
  </si>
  <si>
    <t>/dev/rdsk/c1d284s6</t>
  </si>
  <si>
    <t>/dev/rdsk/c1d285s6</t>
  </si>
  <si>
    <t>/dev/rdsk/c1d286s6</t>
  </si>
  <si>
    <t>/dev/rdsk/c1d287s6</t>
  </si>
  <si>
    <t>/dev/rdsk/c1d288s6</t>
  </si>
  <si>
    <t>/dev/rdsk/c1d289s6</t>
  </si>
  <si>
    <t>/dev/rdsk/c1d290s6</t>
  </si>
  <si>
    <t>/dev/rdsk/c1d291s6</t>
  </si>
  <si>
    <t>/dev/rdsk/c1d292s6</t>
  </si>
  <si>
    <t>/dev/rdsk/c1d293s6</t>
  </si>
  <si>
    <t xml:space="preserve">AFD:DG_ASM000     </t>
  </si>
  <si>
    <t xml:space="preserve">AFD:DG_DATA0001   </t>
  </si>
  <si>
    <t>AFD:DG_DATA0180001</t>
  </si>
  <si>
    <t>AFD:DG_DATA0190001</t>
  </si>
  <si>
    <t>AFD:DG_DATA0200001</t>
  </si>
  <si>
    <t>AFD:DG_DATA0210001</t>
  </si>
  <si>
    <t>AFD:DG_DATA0220001</t>
  </si>
  <si>
    <t>AFD:DG_DATA0230001</t>
  </si>
  <si>
    <t>AFD:DG_DATA0240001</t>
  </si>
  <si>
    <t>AFD:DG_DATA0250001</t>
  </si>
  <si>
    <t>AFD:DG_DATA0260001</t>
  </si>
  <si>
    <t>AFD:DG_DATA0270001</t>
  </si>
  <si>
    <t>AFD:DG_DATA0280001</t>
  </si>
  <si>
    <t>AFD:DG_DATA0290001</t>
  </si>
  <si>
    <t xml:space="preserve">AFD:DG_DATA1      </t>
  </si>
  <si>
    <t xml:space="preserve">AFD:DG_DATA100001 </t>
  </si>
  <si>
    <t xml:space="preserve">AFD:DG_DATA110001 </t>
  </si>
  <si>
    <t xml:space="preserve">AFD:DG_DATA120001 </t>
  </si>
  <si>
    <t xml:space="preserve">AFD:DG_DATA130001 </t>
  </si>
  <si>
    <t xml:space="preserve">AFD:DG_DATA140001 </t>
  </si>
  <si>
    <t xml:space="preserve">AFD:DG_DATA150001 </t>
  </si>
  <si>
    <t xml:space="preserve">AFD:DG_DATA160001 </t>
  </si>
  <si>
    <t xml:space="preserve">AFD:DG_DATA170001 </t>
  </si>
  <si>
    <t xml:space="preserve">AFD:DG_DATA180001 </t>
  </si>
  <si>
    <t xml:space="preserve">AFD:DG_DATA190001 </t>
  </si>
  <si>
    <t xml:space="preserve">AFD:DG_DATA2      </t>
  </si>
  <si>
    <t xml:space="preserve">AFD:DG_DATA200001 </t>
  </si>
  <si>
    <t xml:space="preserve">AFD:DG_DATA210001 </t>
  </si>
  <si>
    <t xml:space="preserve">AFD:DG_DATA220001 </t>
  </si>
  <si>
    <t xml:space="preserve">AFD:DG_DATA230001 </t>
  </si>
  <si>
    <t xml:space="preserve">AFD:DG_DATA240001 </t>
  </si>
  <si>
    <t xml:space="preserve">AFD:DG_DATA3      </t>
  </si>
  <si>
    <t xml:space="preserve">AFD:DG_DATA320008 </t>
  </si>
  <si>
    <t xml:space="preserve">AFD:DG_DATA330007 </t>
  </si>
  <si>
    <t xml:space="preserve">AFD:DG_DATA340006 </t>
  </si>
  <si>
    <t xml:space="preserve">AFD:DG_DATA350005 </t>
  </si>
  <si>
    <t xml:space="preserve">AFD:DG_DATA360004 </t>
  </si>
  <si>
    <t xml:space="preserve">AFD:DG_DATA370003 </t>
  </si>
  <si>
    <t xml:space="preserve">AFD:DG_DATA380002 </t>
  </si>
  <si>
    <t xml:space="preserve">AFD:DG_DATA390001 </t>
  </si>
  <si>
    <t xml:space="preserve">AFD:DG_DATA4      </t>
  </si>
  <si>
    <t xml:space="preserve">AFD:DG_DATA_10001 </t>
  </si>
  <si>
    <t xml:space="preserve">AFD:DG_DATA_20001 </t>
  </si>
  <si>
    <t xml:space="preserve">AFD:DG_DATA_40001 </t>
  </si>
  <si>
    <t xml:space="preserve">AFD:DG_DATA_50001 </t>
  </si>
  <si>
    <t xml:space="preserve">AFD:DG_DATA_60001 </t>
  </si>
  <si>
    <t xml:space="preserve">AFD:DG_DATA_70001 </t>
  </si>
  <si>
    <t xml:space="preserve">AFD:DG_DATA_80001 </t>
  </si>
  <si>
    <t xml:space="preserve">AFD:DG_DATA_90001 </t>
  </si>
  <si>
    <t xml:space="preserve">AFD:DG_ENTRY000   </t>
  </si>
  <si>
    <t xml:space="preserve">AFD:DG_ENTRY0001  </t>
  </si>
  <si>
    <t xml:space="preserve">AFD:DG_ENTRY0002  </t>
  </si>
  <si>
    <t xml:space="preserve">AFD:DG_ENTRY001   </t>
  </si>
  <si>
    <t xml:space="preserve">AFD:DG_ENTRY002   </t>
  </si>
  <si>
    <t xml:space="preserve">AFD:DG_ENTRY003   </t>
  </si>
  <si>
    <t xml:space="preserve">AFD:DG_ENTRY004   </t>
  </si>
  <si>
    <t xml:space="preserve">AFD:DG_ENTRY005   </t>
  </si>
  <si>
    <t xml:space="preserve">AFD:DG_MODEL_0001 </t>
  </si>
  <si>
    <t xml:space="preserve">AFD:DG_MODEL_0002 </t>
  </si>
  <si>
    <t xml:space="preserve">AFD:DG_MODEL_0003 </t>
  </si>
  <si>
    <t xml:space="preserve">AFD:DG_REDO1000   </t>
  </si>
  <si>
    <t xml:space="preserve">AFD:DG_REDO1001   </t>
  </si>
  <si>
    <t xml:space="preserve">AFD:DG_REDO1002   </t>
  </si>
  <si>
    <t xml:space="preserve">AFD:DG_REDO1003   </t>
  </si>
  <si>
    <t xml:space="preserve">AFD:DG_REDO1004   </t>
  </si>
  <si>
    <t xml:space="preserve">AFD:DG_REDO2000   </t>
  </si>
  <si>
    <t xml:space="preserve">AFD:DG_REDO2001   </t>
  </si>
  <si>
    <t xml:space="preserve">AFD:DG_REDO2002   </t>
  </si>
  <si>
    <t xml:space="preserve">AFD:DG_REDO2003   </t>
  </si>
  <si>
    <t xml:space="preserve">AFD:DG_REDO2004   </t>
  </si>
  <si>
    <t xml:space="preserve">AFD:DG_REDO3000   </t>
  </si>
  <si>
    <t xml:space="preserve">AFD:DG_REDO3001   </t>
  </si>
  <si>
    <t xml:space="preserve">AFD:DG_REDO3002   </t>
  </si>
  <si>
    <t xml:space="preserve">AFD:DG_REDO3003   </t>
  </si>
  <si>
    <t xml:space="preserve">AFD:DG_REDO3004   </t>
  </si>
  <si>
    <t xml:space="preserve">AFD:DG_REDO4000   </t>
  </si>
  <si>
    <t xml:space="preserve">AFD:DG_REDO4001   </t>
  </si>
  <si>
    <t xml:space="preserve">AFD:DG_REDO4002   </t>
  </si>
  <si>
    <t xml:space="preserve">AFD:DG_REDO4003   </t>
  </si>
  <si>
    <t xml:space="preserve">AFD:DG_REDO4004   </t>
  </si>
  <si>
    <t xml:space="preserve">AFD:FRA000        </t>
  </si>
  <si>
    <t xml:space="preserve">AFD:FRA001        </t>
  </si>
  <si>
    <t xml:space="preserve">AFD:FRA002        </t>
  </si>
  <si>
    <t xml:space="preserve">AFD:FRA003        </t>
  </si>
  <si>
    <t xml:space="preserve">AFD:FRA004        </t>
  </si>
  <si>
    <t xml:space="preserve">AFD:FRA005        </t>
  </si>
  <si>
    <t xml:space="preserve">AFD:FRA006        </t>
  </si>
  <si>
    <t xml:space="preserve">NAME         </t>
  </si>
  <si>
    <t xml:space="preserve">DG_ASM       </t>
  </si>
  <si>
    <t xml:space="preserve">DG_DATA      </t>
  </si>
  <si>
    <t xml:space="preserve">DG_ENTRY     </t>
  </si>
  <si>
    <t xml:space="preserve">DG_MODEL     </t>
  </si>
  <si>
    <t xml:space="preserve">DG_REDO1     </t>
  </si>
  <si>
    <t xml:space="preserve">DG_REDO2     </t>
  </si>
  <si>
    <t xml:space="preserve">DG_REDO3     </t>
  </si>
  <si>
    <t xml:space="preserve">DG_REDO4     </t>
  </si>
  <si>
    <t xml:space="preserve">FRA          </t>
  </si>
  <si>
    <t>1 disco de 1GB</t>
  </si>
  <si>
    <t>1 disco de 20 GB</t>
  </si>
  <si>
    <t>3 discos de 100 GB</t>
  </si>
  <si>
    <t>*</t>
  </si>
  <si>
    <t>DATA_001</t>
  </si>
  <si>
    <t>DATA_002</t>
  </si>
  <si>
    <t>DATA_003</t>
  </si>
  <si>
    <t>DATA_004</t>
  </si>
  <si>
    <t>DATA_005</t>
  </si>
  <si>
    <t>DATA_006</t>
  </si>
  <si>
    <t>DATA_007</t>
  </si>
  <si>
    <t>DATA_008</t>
  </si>
  <si>
    <t>DATA_009</t>
  </si>
  <si>
    <t>DATA_010</t>
  </si>
  <si>
    <t>DATA_011</t>
  </si>
  <si>
    <t>DATA_012</t>
  </si>
  <si>
    <t>DATA_013</t>
  </si>
  <si>
    <t>DATA_014</t>
  </si>
  <si>
    <t>15 discos de 500GB</t>
  </si>
  <si>
    <t>4 discos de 10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</si>
</sst>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43" fontId="0" fillId="0" borderId="0" xfId="1" applyFont="1"/>
    <xf numFmtId="0" fontId="2" fillId="0" borderId="0" xfId="0" applyFont="1"/>
    <xf numFmtId="0" fontId="0" fillId="4" borderId="0" xfId="0" applyFill="1"/>
    <xf numFmtId="0" fontId="2" fillId="4" borderId="0" xfId="0" applyFont="1" applyFill="1"/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2" xfId="0" applyFont="1" applyFill="1" applyBorder="1" applyAlignment="1" applyProtection="1">
      <alignment horizontal="center"/>
      <protection locked="0"/>
    </xf>
    <xf numFmtId="2" fontId="0" fillId="0" borderId="0" xfId="0" applyNumberFormat="1"/>
    <xf numFmtId="4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46"/>
  <sheetViews>
    <sheetView workbookViewId="0">
      <selection activeCell="L46" sqref="L46"/>
    </sheetView>
  </sheetViews>
  <sheetFormatPr baseColWidth="10" defaultRowHeight="15" x14ac:dyDescent="0.25"/>
  <cols>
    <col min="3" max="3" width="16.140625" bestFit="1" customWidth="1"/>
    <col min="4" max="4" width="14.42578125" bestFit="1" customWidth="1"/>
    <col min="5" max="5" width="18.85546875" bestFit="1" customWidth="1"/>
    <col min="6" max="6" width="8.85546875" bestFit="1" customWidth="1"/>
    <col min="7" max="7" width="13" bestFit="1" customWidth="1"/>
    <col min="8" max="8" width="9" bestFit="1" customWidth="1"/>
    <col min="9" max="9" width="8" bestFit="1" customWidth="1"/>
    <col min="10" max="10" width="17" bestFit="1" customWidth="1"/>
    <col min="11" max="11" width="15.5703125" bestFit="1" customWidth="1"/>
    <col min="12" max="12" width="17.85546875" customWidth="1"/>
    <col min="13" max="13" width="18.85546875" bestFit="1" customWidth="1"/>
    <col min="15" max="15" width="13" bestFit="1" customWidth="1"/>
  </cols>
  <sheetData>
    <row r="3" spans="3:16" x14ac:dyDescent="0.25">
      <c r="C3" t="s">
        <v>86</v>
      </c>
    </row>
    <row r="6" spans="3:16" x14ac:dyDescent="0.25">
      <c r="C6" t="s">
        <v>0</v>
      </c>
      <c r="D6" t="s">
        <v>3</v>
      </c>
      <c r="E6" t="s">
        <v>32</v>
      </c>
      <c r="F6" t="s">
        <v>78</v>
      </c>
      <c r="G6" t="s">
        <v>81</v>
      </c>
      <c r="H6" t="s">
        <v>83</v>
      </c>
      <c r="I6" t="s">
        <v>85</v>
      </c>
    </row>
    <row r="7" spans="3:16" x14ac:dyDescent="0.25">
      <c r="C7" t="s">
        <v>1</v>
      </c>
      <c r="D7" t="s">
        <v>4</v>
      </c>
      <c r="E7" t="s">
        <v>33</v>
      </c>
      <c r="F7" t="s">
        <v>79</v>
      </c>
      <c r="G7" t="s">
        <v>82</v>
      </c>
      <c r="H7" t="s">
        <v>84</v>
      </c>
      <c r="I7" t="s">
        <v>79</v>
      </c>
    </row>
    <row r="8" spans="3:16" x14ac:dyDescent="0.25">
      <c r="C8" t="s">
        <v>2</v>
      </c>
      <c r="D8" t="s">
        <v>6</v>
      </c>
      <c r="E8" t="s">
        <v>39</v>
      </c>
      <c r="F8" t="s">
        <v>80</v>
      </c>
      <c r="G8">
        <v>204.78800000000001</v>
      </c>
      <c r="H8">
        <v>34712</v>
      </c>
      <c r="I8">
        <v>204788</v>
      </c>
    </row>
    <row r="9" spans="3:16" x14ac:dyDescent="0.25">
      <c r="C9" t="s">
        <v>2</v>
      </c>
      <c r="D9" t="s">
        <v>7</v>
      </c>
      <c r="E9" t="s">
        <v>40</v>
      </c>
      <c r="F9" t="s">
        <v>80</v>
      </c>
      <c r="G9">
        <v>204.78800000000001</v>
      </c>
      <c r="H9">
        <v>34720</v>
      </c>
      <c r="I9">
        <v>204788</v>
      </c>
    </row>
    <row r="10" spans="3:16" x14ac:dyDescent="0.25">
      <c r="C10" t="s">
        <v>2</v>
      </c>
      <c r="D10" t="s">
        <v>8</v>
      </c>
      <c r="E10" t="s">
        <v>41</v>
      </c>
      <c r="F10" t="s">
        <v>80</v>
      </c>
      <c r="G10">
        <v>204.78800000000001</v>
      </c>
      <c r="H10">
        <v>34724</v>
      </c>
      <c r="I10">
        <v>204788</v>
      </c>
    </row>
    <row r="11" spans="3:16" x14ac:dyDescent="0.25">
      <c r="C11" t="s">
        <v>2</v>
      </c>
      <c r="D11" t="s">
        <v>9</v>
      </c>
      <c r="E11" t="s">
        <v>51</v>
      </c>
      <c r="F11" t="s">
        <v>80</v>
      </c>
      <c r="G11">
        <v>204.78800000000001</v>
      </c>
      <c r="H11">
        <v>34716</v>
      </c>
      <c r="I11">
        <v>204788</v>
      </c>
    </row>
    <row r="12" spans="3:16" x14ac:dyDescent="0.25">
      <c r="C12" t="s">
        <v>2</v>
      </c>
      <c r="D12" t="s">
        <v>10</v>
      </c>
      <c r="E12" t="s">
        <v>52</v>
      </c>
      <c r="F12" t="s">
        <v>80</v>
      </c>
      <c r="G12">
        <v>204.78800000000001</v>
      </c>
      <c r="H12">
        <v>34716</v>
      </c>
      <c r="I12">
        <v>204788</v>
      </c>
    </row>
    <row r="13" spans="3:16" x14ac:dyDescent="0.25">
      <c r="C13" t="s">
        <v>2</v>
      </c>
      <c r="D13" t="s">
        <v>11</v>
      </c>
      <c r="E13" t="s">
        <v>53</v>
      </c>
      <c r="F13" t="s">
        <v>80</v>
      </c>
      <c r="G13">
        <v>204.78800000000001</v>
      </c>
      <c r="H13">
        <v>34716</v>
      </c>
      <c r="I13">
        <v>204788</v>
      </c>
    </row>
    <row r="14" spans="3:16" x14ac:dyDescent="0.25">
      <c r="C14" t="s">
        <v>2</v>
      </c>
      <c r="D14" t="s">
        <v>12</v>
      </c>
      <c r="E14" t="s">
        <v>54</v>
      </c>
      <c r="F14" t="s">
        <v>80</v>
      </c>
      <c r="G14">
        <v>204.78800000000001</v>
      </c>
      <c r="H14">
        <v>34732</v>
      </c>
      <c r="I14">
        <v>204788</v>
      </c>
    </row>
    <row r="15" spans="3:16" x14ac:dyDescent="0.25">
      <c r="C15" t="s">
        <v>2</v>
      </c>
      <c r="D15" t="s">
        <v>13</v>
      </c>
      <c r="E15" t="s">
        <v>55</v>
      </c>
      <c r="F15" t="s">
        <v>80</v>
      </c>
      <c r="G15">
        <v>204.78800000000001</v>
      </c>
      <c r="H15">
        <v>34736</v>
      </c>
      <c r="I15">
        <v>204788</v>
      </c>
    </row>
    <row r="16" spans="3:16" x14ac:dyDescent="0.25">
      <c r="C16" t="s">
        <v>2</v>
      </c>
      <c r="D16" t="s">
        <v>5</v>
      </c>
      <c r="E16" t="s">
        <v>38</v>
      </c>
      <c r="F16" t="s">
        <v>80</v>
      </c>
      <c r="G16">
        <v>0</v>
      </c>
      <c r="H16">
        <v>0</v>
      </c>
      <c r="I16">
        <v>204788</v>
      </c>
      <c r="J16" s="2" t="s">
        <v>2</v>
      </c>
      <c r="K16" s="2" t="s">
        <v>15</v>
      </c>
      <c r="L16" s="2" t="s">
        <v>61</v>
      </c>
      <c r="M16" s="2" t="s">
        <v>80</v>
      </c>
      <c r="N16" s="2">
        <v>204.78800000000001</v>
      </c>
      <c r="O16" s="2">
        <v>34716</v>
      </c>
      <c r="P16" s="2">
        <v>204788</v>
      </c>
    </row>
    <row r="17" spans="3:18" x14ac:dyDescent="0.25">
      <c r="C17" t="s">
        <v>2</v>
      </c>
      <c r="D17" t="s">
        <v>5</v>
      </c>
      <c r="E17" t="s">
        <v>44</v>
      </c>
      <c r="F17" t="s">
        <v>80</v>
      </c>
      <c r="G17">
        <v>0</v>
      </c>
      <c r="H17">
        <v>0</v>
      </c>
      <c r="I17">
        <v>204788</v>
      </c>
      <c r="J17" s="2" t="s">
        <v>2</v>
      </c>
      <c r="K17" s="2" t="s">
        <v>16</v>
      </c>
      <c r="L17" s="2" t="s">
        <v>62</v>
      </c>
      <c r="M17" s="2" t="s">
        <v>80</v>
      </c>
      <c r="N17" s="2">
        <v>204.78800000000001</v>
      </c>
      <c r="O17" s="2">
        <v>34712</v>
      </c>
      <c r="P17" s="2">
        <v>204788</v>
      </c>
    </row>
    <row r="18" spans="3:18" x14ac:dyDescent="0.25">
      <c r="C18" t="s">
        <v>2</v>
      </c>
      <c r="D18" t="s">
        <v>5</v>
      </c>
      <c r="E18" t="s">
        <v>45</v>
      </c>
      <c r="F18" t="s">
        <v>80</v>
      </c>
      <c r="G18">
        <v>0</v>
      </c>
      <c r="H18">
        <v>0</v>
      </c>
      <c r="I18">
        <v>204788</v>
      </c>
      <c r="J18" s="2" t="s">
        <v>2</v>
      </c>
      <c r="K18" s="2" t="s">
        <v>17</v>
      </c>
      <c r="L18" s="2" t="s">
        <v>63</v>
      </c>
      <c r="M18" s="2" t="s">
        <v>80</v>
      </c>
      <c r="N18" s="2">
        <v>204.78800000000001</v>
      </c>
      <c r="O18" s="2">
        <v>34712</v>
      </c>
      <c r="P18" s="2">
        <v>204788</v>
      </c>
    </row>
    <row r="19" spans="3:18" x14ac:dyDescent="0.25">
      <c r="C19" t="s">
        <v>2</v>
      </c>
      <c r="D19" t="s">
        <v>5</v>
      </c>
      <c r="E19" t="s">
        <v>47</v>
      </c>
      <c r="F19" t="s">
        <v>80</v>
      </c>
      <c r="G19">
        <v>0</v>
      </c>
      <c r="H19">
        <v>0</v>
      </c>
      <c r="I19">
        <v>204788</v>
      </c>
      <c r="J19" s="2" t="s">
        <v>2</v>
      </c>
      <c r="K19" s="2" t="s">
        <v>18</v>
      </c>
      <c r="L19" s="2" t="s">
        <v>64</v>
      </c>
      <c r="M19" s="2" t="s">
        <v>80</v>
      </c>
      <c r="N19" s="2">
        <v>204.78800000000001</v>
      </c>
      <c r="O19" s="2">
        <v>34716</v>
      </c>
      <c r="P19" s="2">
        <v>204788</v>
      </c>
    </row>
    <row r="20" spans="3:18" x14ac:dyDescent="0.25">
      <c r="C20" t="s">
        <v>2</v>
      </c>
      <c r="D20" t="s">
        <v>5</v>
      </c>
      <c r="E20" t="s">
        <v>48</v>
      </c>
      <c r="F20" t="s">
        <v>80</v>
      </c>
      <c r="G20">
        <v>0</v>
      </c>
      <c r="H20">
        <v>0</v>
      </c>
      <c r="I20">
        <v>204788</v>
      </c>
      <c r="J20" s="2" t="s">
        <v>2</v>
      </c>
      <c r="K20" s="2" t="s">
        <v>19</v>
      </c>
      <c r="L20" s="2" t="s">
        <v>65</v>
      </c>
      <c r="M20" s="2" t="s">
        <v>80</v>
      </c>
      <c r="N20" s="2">
        <v>204.78800000000001</v>
      </c>
      <c r="O20" s="2">
        <v>34712</v>
      </c>
      <c r="P20" s="2">
        <v>204788</v>
      </c>
    </row>
    <row r="21" spans="3:18" x14ac:dyDescent="0.25">
      <c r="C21" t="s">
        <v>2</v>
      </c>
      <c r="D21" t="s">
        <v>5</v>
      </c>
      <c r="E21" t="s">
        <v>49</v>
      </c>
      <c r="F21" t="s">
        <v>80</v>
      </c>
      <c r="G21">
        <v>0</v>
      </c>
      <c r="H21">
        <v>0</v>
      </c>
      <c r="I21">
        <v>204788</v>
      </c>
      <c r="J21" s="2" t="s">
        <v>2</v>
      </c>
      <c r="K21" s="2" t="s">
        <v>20</v>
      </c>
      <c r="L21" s="2" t="s">
        <v>66</v>
      </c>
      <c r="M21" s="2" t="s">
        <v>80</v>
      </c>
      <c r="N21" s="2">
        <v>204.78800000000001</v>
      </c>
      <c r="O21" s="2">
        <v>34712</v>
      </c>
      <c r="P21" s="2">
        <v>204788</v>
      </c>
    </row>
    <row r="22" spans="3:18" x14ac:dyDescent="0.25">
      <c r="C22" t="s">
        <v>2</v>
      </c>
      <c r="D22" t="s">
        <v>5</v>
      </c>
      <c r="E22" t="s">
        <v>50</v>
      </c>
      <c r="F22" t="s">
        <v>80</v>
      </c>
      <c r="G22">
        <v>0</v>
      </c>
      <c r="H22">
        <v>0</v>
      </c>
      <c r="I22">
        <v>204788</v>
      </c>
      <c r="J22" s="2" t="s">
        <v>2</v>
      </c>
      <c r="K22" s="2" t="s">
        <v>21</v>
      </c>
      <c r="L22" s="2" t="s">
        <v>67</v>
      </c>
      <c r="M22" s="2" t="s">
        <v>80</v>
      </c>
      <c r="N22" s="2">
        <v>204.78800000000001</v>
      </c>
      <c r="O22" s="2">
        <v>34716</v>
      </c>
      <c r="P22" s="2">
        <v>204788</v>
      </c>
    </row>
    <row r="23" spans="3:18" x14ac:dyDescent="0.25">
      <c r="C23" t="s">
        <v>2</v>
      </c>
      <c r="D23" t="s">
        <v>5</v>
      </c>
      <c r="E23" t="s">
        <v>56</v>
      </c>
      <c r="F23" t="s">
        <v>80</v>
      </c>
      <c r="G23">
        <v>0</v>
      </c>
      <c r="H23">
        <v>0</v>
      </c>
      <c r="I23">
        <v>204788</v>
      </c>
      <c r="J23" s="2" t="s">
        <v>2</v>
      </c>
      <c r="K23" s="2" t="s">
        <v>22</v>
      </c>
      <c r="L23" s="2" t="s">
        <v>68</v>
      </c>
      <c r="M23" s="2" t="s">
        <v>80</v>
      </c>
      <c r="N23" s="2">
        <v>204.78800000000001</v>
      </c>
      <c r="O23" s="2">
        <v>34716</v>
      </c>
      <c r="P23" s="2">
        <v>204788</v>
      </c>
    </row>
    <row r="24" spans="3:18" x14ac:dyDescent="0.25">
      <c r="C24" t="s">
        <v>2</v>
      </c>
      <c r="D24" t="s">
        <v>5</v>
      </c>
      <c r="E24" t="s">
        <v>34</v>
      </c>
      <c r="F24" t="s">
        <v>80</v>
      </c>
      <c r="G24">
        <v>0</v>
      </c>
      <c r="H24">
        <v>0</v>
      </c>
      <c r="I24">
        <v>10234</v>
      </c>
      <c r="J24" s="1" t="s">
        <v>2</v>
      </c>
      <c r="K24" s="1" t="s">
        <v>29</v>
      </c>
      <c r="L24" s="1" t="s">
        <v>75</v>
      </c>
      <c r="M24" s="1" t="s">
        <v>80</v>
      </c>
      <c r="N24" s="1">
        <v>10.231999999999999</v>
      </c>
      <c r="O24" s="1">
        <v>8656</v>
      </c>
      <c r="P24" s="1">
        <v>10234</v>
      </c>
    </row>
    <row r="25" spans="3:18" x14ac:dyDescent="0.25">
      <c r="C25" t="s">
        <v>2</v>
      </c>
      <c r="D25" t="s">
        <v>5</v>
      </c>
      <c r="E25" t="s">
        <v>58</v>
      </c>
      <c r="F25" t="s">
        <v>80</v>
      </c>
      <c r="G25">
        <v>0</v>
      </c>
      <c r="H25">
        <v>0</v>
      </c>
      <c r="I25">
        <v>10234</v>
      </c>
      <c r="J25" s="1" t="s">
        <v>2</v>
      </c>
      <c r="K25" s="1" t="s">
        <v>30</v>
      </c>
      <c r="L25" s="1" t="s">
        <v>76</v>
      </c>
      <c r="M25" s="1" t="s">
        <v>80</v>
      </c>
      <c r="N25" s="1">
        <v>10.231999999999999</v>
      </c>
      <c r="O25" s="1">
        <v>8672</v>
      </c>
      <c r="P25" s="1">
        <v>10234</v>
      </c>
    </row>
    <row r="26" spans="3:18" x14ac:dyDescent="0.25">
      <c r="C26" t="s">
        <v>2</v>
      </c>
      <c r="D26" t="s">
        <v>5</v>
      </c>
      <c r="E26" t="s">
        <v>59</v>
      </c>
      <c r="F26" t="s">
        <v>80</v>
      </c>
      <c r="G26">
        <v>0</v>
      </c>
      <c r="H26">
        <v>0</v>
      </c>
      <c r="I26">
        <v>10234</v>
      </c>
      <c r="J26" s="1" t="s">
        <v>2</v>
      </c>
      <c r="K26" s="1" t="s">
        <v>31</v>
      </c>
      <c r="L26" s="1" t="s">
        <v>77</v>
      </c>
      <c r="M26" s="1" t="s">
        <v>80</v>
      </c>
      <c r="N26" s="1">
        <v>10.231999999999999</v>
      </c>
      <c r="O26" s="1">
        <v>8656</v>
      </c>
      <c r="P26" s="1">
        <v>10234</v>
      </c>
    </row>
    <row r="27" spans="3:18" x14ac:dyDescent="0.25">
      <c r="C27" t="s">
        <v>2</v>
      </c>
      <c r="D27" t="s">
        <v>5</v>
      </c>
      <c r="E27" t="s">
        <v>57</v>
      </c>
      <c r="F27" t="s">
        <v>80</v>
      </c>
      <c r="G27">
        <v>0</v>
      </c>
      <c r="H27">
        <v>0</v>
      </c>
      <c r="I27">
        <v>51194</v>
      </c>
      <c r="J27" s="2" t="s">
        <v>2</v>
      </c>
      <c r="K27" s="2" t="s">
        <v>14</v>
      </c>
      <c r="L27" s="2" t="s">
        <v>60</v>
      </c>
      <c r="M27" s="2" t="s">
        <v>80</v>
      </c>
      <c r="N27" s="2">
        <v>51.192</v>
      </c>
      <c r="O27" s="2">
        <v>51016</v>
      </c>
      <c r="P27" s="2">
        <v>51194</v>
      </c>
    </row>
    <row r="28" spans="3:18" x14ac:dyDescent="0.25">
      <c r="C28" t="s">
        <v>2</v>
      </c>
      <c r="D28" t="s">
        <v>5</v>
      </c>
      <c r="E28" t="s">
        <v>35</v>
      </c>
      <c r="F28" t="s">
        <v>80</v>
      </c>
      <c r="G28">
        <v>0</v>
      </c>
      <c r="H28">
        <v>0</v>
      </c>
      <c r="I28">
        <v>51194</v>
      </c>
      <c r="J28" s="1" t="s">
        <v>2</v>
      </c>
      <c r="K28" s="1" t="s">
        <v>23</v>
      </c>
      <c r="L28" s="1" t="s">
        <v>69</v>
      </c>
      <c r="M28" s="1" t="s">
        <v>80</v>
      </c>
      <c r="N28" s="1">
        <v>51.192</v>
      </c>
      <c r="O28" s="1">
        <v>25876</v>
      </c>
      <c r="P28" s="1">
        <v>51194</v>
      </c>
    </row>
    <row r="29" spans="3:18" x14ac:dyDescent="0.25">
      <c r="C29" t="s">
        <v>2</v>
      </c>
      <c r="D29" t="s">
        <v>5</v>
      </c>
      <c r="E29" t="s">
        <v>36</v>
      </c>
      <c r="F29" t="s">
        <v>80</v>
      </c>
      <c r="G29">
        <v>0</v>
      </c>
      <c r="H29">
        <v>0</v>
      </c>
      <c r="I29">
        <v>51194</v>
      </c>
      <c r="J29" s="1" t="s">
        <v>2</v>
      </c>
      <c r="K29" s="1" t="s">
        <v>24</v>
      </c>
      <c r="L29" s="1" t="s">
        <v>70</v>
      </c>
      <c r="M29" s="1" t="s">
        <v>80</v>
      </c>
      <c r="N29" s="1">
        <v>51.192</v>
      </c>
      <c r="O29" s="1">
        <v>25872</v>
      </c>
      <c r="P29" s="1">
        <v>51194</v>
      </c>
    </row>
    <row r="30" spans="3:18" x14ac:dyDescent="0.25">
      <c r="C30" t="s">
        <v>2</v>
      </c>
      <c r="D30" t="s">
        <v>5</v>
      </c>
      <c r="E30" t="s">
        <v>37</v>
      </c>
      <c r="F30" t="s">
        <v>80</v>
      </c>
      <c r="G30">
        <v>0</v>
      </c>
      <c r="H30">
        <v>0</v>
      </c>
      <c r="I30">
        <v>51194</v>
      </c>
      <c r="J30" s="1" t="s">
        <v>2</v>
      </c>
      <c r="K30" s="1" t="s">
        <v>25</v>
      </c>
      <c r="L30" s="1" t="s">
        <v>71</v>
      </c>
      <c r="M30" s="1" t="s">
        <v>80</v>
      </c>
      <c r="N30" s="1">
        <v>51.192</v>
      </c>
      <c r="O30" s="1">
        <v>25884</v>
      </c>
      <c r="P30" s="1">
        <v>51194</v>
      </c>
    </row>
    <row r="31" spans="3:18" x14ac:dyDescent="0.25">
      <c r="C31" t="s">
        <v>2</v>
      </c>
      <c r="D31" t="s">
        <v>5</v>
      </c>
      <c r="E31" t="s">
        <v>42</v>
      </c>
      <c r="F31" t="s">
        <v>80</v>
      </c>
      <c r="G31">
        <v>0</v>
      </c>
      <c r="H31">
        <v>0</v>
      </c>
      <c r="I31">
        <v>51194</v>
      </c>
      <c r="J31" s="2" t="s">
        <v>2</v>
      </c>
      <c r="K31" s="2" t="s">
        <v>26</v>
      </c>
      <c r="L31" s="2" t="s">
        <v>72</v>
      </c>
      <c r="M31" s="2" t="s">
        <v>80</v>
      </c>
      <c r="N31" s="2">
        <v>51.192</v>
      </c>
      <c r="O31" s="2">
        <v>47180</v>
      </c>
      <c r="P31" s="2">
        <v>51194</v>
      </c>
      <c r="R31" t="s">
        <v>87</v>
      </c>
    </row>
    <row r="32" spans="3:18" x14ac:dyDescent="0.25">
      <c r="C32" t="s">
        <v>2</v>
      </c>
      <c r="D32" t="s">
        <v>5</v>
      </c>
      <c r="E32" t="s">
        <v>43</v>
      </c>
      <c r="F32" t="s">
        <v>80</v>
      </c>
      <c r="G32">
        <v>0</v>
      </c>
      <c r="H32">
        <v>0</v>
      </c>
      <c r="I32">
        <v>51194</v>
      </c>
      <c r="J32" s="2" t="s">
        <v>2</v>
      </c>
      <c r="K32" s="2" t="s">
        <v>27</v>
      </c>
      <c r="L32" s="2" t="s">
        <v>73</v>
      </c>
      <c r="M32" s="2" t="s">
        <v>80</v>
      </c>
      <c r="N32" s="2">
        <v>51.192</v>
      </c>
      <c r="O32" s="2">
        <v>47204</v>
      </c>
      <c r="P32" s="2">
        <v>51194</v>
      </c>
    </row>
    <row r="33" spans="3:16" x14ac:dyDescent="0.25">
      <c r="C33" t="s">
        <v>2</v>
      </c>
      <c r="D33" t="s">
        <v>5</v>
      </c>
      <c r="E33" t="s">
        <v>46</v>
      </c>
      <c r="F33" t="s">
        <v>80</v>
      </c>
      <c r="G33">
        <v>0</v>
      </c>
      <c r="H33">
        <v>0</v>
      </c>
      <c r="I33">
        <v>51194</v>
      </c>
      <c r="J33" s="2" t="s">
        <v>2</v>
      </c>
      <c r="K33" s="2" t="s">
        <v>28</v>
      </c>
      <c r="L33" s="2" t="s">
        <v>74</v>
      </c>
      <c r="M33" s="2" t="s">
        <v>80</v>
      </c>
      <c r="N33" s="2">
        <v>51.192</v>
      </c>
      <c r="O33" s="2">
        <v>47200</v>
      </c>
      <c r="P33" s="2">
        <v>51194</v>
      </c>
    </row>
    <row r="36" spans="3:16" x14ac:dyDescent="0.25">
      <c r="C36" t="s">
        <v>88</v>
      </c>
      <c r="D36" t="s">
        <v>89</v>
      </c>
      <c r="E36" t="s">
        <v>95</v>
      </c>
      <c r="F36" t="s">
        <v>97</v>
      </c>
      <c r="G36" t="s">
        <v>99</v>
      </c>
      <c r="H36" t="s">
        <v>83</v>
      </c>
    </row>
    <row r="37" spans="3:16" x14ac:dyDescent="0.25">
      <c r="C37">
        <v>1</v>
      </c>
      <c r="D37" t="s">
        <v>90</v>
      </c>
      <c r="E37" t="s">
        <v>96</v>
      </c>
      <c r="F37" t="s">
        <v>98</v>
      </c>
      <c r="G37" s="3">
        <v>51192</v>
      </c>
      <c r="H37">
        <v>51016</v>
      </c>
      <c r="J37" t="s">
        <v>101</v>
      </c>
    </row>
    <row r="38" spans="3:16" x14ac:dyDescent="0.25">
      <c r="C38">
        <v>2</v>
      </c>
      <c r="D38" t="s">
        <v>91</v>
      </c>
      <c r="E38" t="s">
        <v>96</v>
      </c>
      <c r="F38" t="s">
        <v>98</v>
      </c>
      <c r="G38" s="3">
        <v>3276608</v>
      </c>
      <c r="H38">
        <v>555484</v>
      </c>
      <c r="J38" t="s">
        <v>102</v>
      </c>
      <c r="K38" s="4" t="s">
        <v>468</v>
      </c>
    </row>
    <row r="39" spans="3:16" x14ac:dyDescent="0.25">
      <c r="C39">
        <v>3</v>
      </c>
      <c r="D39" t="s">
        <v>92</v>
      </c>
      <c r="E39" t="s">
        <v>96</v>
      </c>
      <c r="F39" t="s">
        <v>80</v>
      </c>
      <c r="G39" s="3">
        <v>153576</v>
      </c>
      <c r="H39">
        <v>77632</v>
      </c>
      <c r="J39" t="s">
        <v>103</v>
      </c>
    </row>
    <row r="40" spans="3:16" x14ac:dyDescent="0.25">
      <c r="C40">
        <v>4</v>
      </c>
      <c r="D40" t="s">
        <v>93</v>
      </c>
      <c r="E40" t="s">
        <v>96</v>
      </c>
      <c r="F40" t="s">
        <v>98</v>
      </c>
      <c r="G40" s="3">
        <v>30696</v>
      </c>
      <c r="H40">
        <v>25984</v>
      </c>
      <c r="J40" t="s">
        <v>104</v>
      </c>
    </row>
    <row r="41" spans="3:16" x14ac:dyDescent="0.25">
      <c r="C41">
        <v>5</v>
      </c>
      <c r="D41" t="s">
        <v>94</v>
      </c>
      <c r="E41" t="s">
        <v>96</v>
      </c>
      <c r="F41" t="s">
        <v>98</v>
      </c>
      <c r="G41" s="3">
        <v>153576</v>
      </c>
      <c r="H41">
        <v>139964</v>
      </c>
      <c r="J41" t="s">
        <v>103</v>
      </c>
    </row>
    <row r="44" spans="3:16" x14ac:dyDescent="0.25">
      <c r="N44">
        <f>3276608-555484</f>
        <v>2721124</v>
      </c>
      <c r="P44">
        <f>3500000-555484</f>
        <v>2944516</v>
      </c>
    </row>
    <row r="46" spans="3:16" x14ac:dyDescent="0.25">
      <c r="P46">
        <f>3500000-2944516</f>
        <v>555484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211"/>
  <sheetViews>
    <sheetView tabSelected="1" topLeftCell="A133" workbookViewId="0">
      <selection activeCell="J170" sqref="J170"/>
    </sheetView>
  </sheetViews>
  <sheetFormatPr baseColWidth="10" defaultRowHeight="15" x14ac:dyDescent="0.25"/>
  <cols>
    <col min="3" max="3" width="16.5703125" bestFit="1" customWidth="1"/>
    <col min="4" max="4" width="17" bestFit="1" customWidth="1"/>
    <col min="5" max="5" width="16.5703125" bestFit="1" customWidth="1"/>
    <col min="6" max="6" width="20.7109375" bestFit="1" customWidth="1"/>
    <col min="8" max="8" width="10.42578125" bestFit="1" customWidth="1"/>
    <col min="9" max="9" width="9" bestFit="1" customWidth="1"/>
    <col min="10" max="10" width="17.5703125" bestFit="1" customWidth="1"/>
    <col min="11" max="11" width="18" bestFit="1" customWidth="1"/>
    <col min="19" max="19" width="16.5703125" bestFit="1" customWidth="1"/>
  </cols>
  <sheetData>
    <row r="3" spans="2:19" x14ac:dyDescent="0.25">
      <c r="B3" t="s">
        <v>105</v>
      </c>
      <c r="C3" t="s">
        <v>108</v>
      </c>
      <c r="D3" t="s">
        <v>238</v>
      </c>
      <c r="E3" t="s">
        <v>78</v>
      </c>
      <c r="F3" t="s">
        <v>99</v>
      </c>
      <c r="G3" t="s">
        <v>83</v>
      </c>
      <c r="H3" t="s">
        <v>85</v>
      </c>
    </row>
    <row r="4" spans="2:19" x14ac:dyDescent="0.25">
      <c r="B4" t="s">
        <v>106</v>
      </c>
      <c r="C4" t="s">
        <v>82</v>
      </c>
      <c r="D4" t="s">
        <v>239</v>
      </c>
      <c r="E4" t="s">
        <v>79</v>
      </c>
      <c r="F4" t="s">
        <v>100</v>
      </c>
      <c r="G4" t="s">
        <v>84</v>
      </c>
      <c r="H4" t="s">
        <v>79</v>
      </c>
    </row>
    <row r="5" spans="2:19" x14ac:dyDescent="0.25">
      <c r="B5" t="s">
        <v>107</v>
      </c>
      <c r="C5" t="s">
        <v>130</v>
      </c>
      <c r="D5" t="s">
        <v>347</v>
      </c>
      <c r="E5" t="s">
        <v>80</v>
      </c>
      <c r="F5">
        <v>102392</v>
      </c>
      <c r="G5">
        <v>17176</v>
      </c>
      <c r="H5">
        <v>102394</v>
      </c>
      <c r="M5">
        <v>102392</v>
      </c>
      <c r="P5" t="s">
        <v>469</v>
      </c>
      <c r="Q5">
        <f>7000000/1024/1024</f>
        <v>6.67572021484375</v>
      </c>
      <c r="S5">
        <f>6675720-H141</f>
        <v>5490468</v>
      </c>
    </row>
    <row r="6" spans="2:19" x14ac:dyDescent="0.25">
      <c r="B6" t="s">
        <v>107</v>
      </c>
      <c r="C6" t="s">
        <v>131</v>
      </c>
      <c r="D6" t="s">
        <v>348</v>
      </c>
      <c r="E6" t="s">
        <v>80</v>
      </c>
      <c r="F6">
        <v>102392</v>
      </c>
      <c r="G6">
        <v>17172</v>
      </c>
      <c r="H6">
        <v>102394</v>
      </c>
      <c r="M6">
        <v>102392</v>
      </c>
      <c r="P6" t="s">
        <v>470</v>
      </c>
    </row>
    <row r="7" spans="2:19" x14ac:dyDescent="0.25">
      <c r="B7" t="s">
        <v>107</v>
      </c>
      <c r="C7" t="s">
        <v>132</v>
      </c>
      <c r="D7" t="s">
        <v>349</v>
      </c>
      <c r="E7" t="s">
        <v>80</v>
      </c>
      <c r="F7">
        <v>102392</v>
      </c>
      <c r="G7">
        <v>17176</v>
      </c>
      <c r="H7">
        <v>102394</v>
      </c>
      <c r="M7">
        <v>102392</v>
      </c>
      <c r="P7" t="s">
        <v>471</v>
      </c>
    </row>
    <row r="8" spans="2:19" x14ac:dyDescent="0.25">
      <c r="B8" t="s">
        <v>107</v>
      </c>
      <c r="C8" t="s">
        <v>133</v>
      </c>
      <c r="D8" t="s">
        <v>350</v>
      </c>
      <c r="E8" t="s">
        <v>80</v>
      </c>
      <c r="F8">
        <v>102392</v>
      </c>
      <c r="G8">
        <v>17172</v>
      </c>
      <c r="H8">
        <v>102394</v>
      </c>
      <c r="M8">
        <v>102392</v>
      </c>
      <c r="P8" t="s">
        <v>472</v>
      </c>
    </row>
    <row r="9" spans="2:19" x14ac:dyDescent="0.25">
      <c r="B9" t="s">
        <v>107</v>
      </c>
      <c r="C9" t="s">
        <v>134</v>
      </c>
      <c r="D9" t="s">
        <v>351</v>
      </c>
      <c r="E9" t="s">
        <v>80</v>
      </c>
      <c r="F9">
        <v>102392</v>
      </c>
      <c r="G9">
        <v>17176</v>
      </c>
      <c r="H9">
        <v>102394</v>
      </c>
      <c r="M9">
        <v>102392</v>
      </c>
      <c r="P9" t="s">
        <v>473</v>
      </c>
      <c r="Q9">
        <f>7500000/1024/1024</f>
        <v>7.152557373046875</v>
      </c>
    </row>
    <row r="10" spans="2:19" x14ac:dyDescent="0.25">
      <c r="B10" t="s">
        <v>107</v>
      </c>
      <c r="C10" t="s">
        <v>135</v>
      </c>
      <c r="D10" t="s">
        <v>352</v>
      </c>
      <c r="E10" t="s">
        <v>80</v>
      </c>
      <c r="F10">
        <v>102392</v>
      </c>
      <c r="G10">
        <v>17176</v>
      </c>
      <c r="H10">
        <v>102394</v>
      </c>
      <c r="M10">
        <v>102392</v>
      </c>
      <c r="P10" t="s">
        <v>474</v>
      </c>
    </row>
    <row r="11" spans="2:19" x14ac:dyDescent="0.25">
      <c r="B11" t="s">
        <v>107</v>
      </c>
      <c r="C11" t="s">
        <v>136</v>
      </c>
      <c r="D11" t="s">
        <v>353</v>
      </c>
      <c r="E11" t="s">
        <v>80</v>
      </c>
      <c r="F11">
        <v>102392</v>
      </c>
      <c r="G11">
        <v>17176</v>
      </c>
      <c r="H11">
        <v>102394</v>
      </c>
      <c r="M11">
        <v>102392</v>
      </c>
      <c r="P11" t="s">
        <v>475</v>
      </c>
    </row>
    <row r="12" spans="2:19" x14ac:dyDescent="0.25">
      <c r="B12" t="s">
        <v>107</v>
      </c>
      <c r="C12" t="s">
        <v>137</v>
      </c>
      <c r="D12" t="s">
        <v>354</v>
      </c>
      <c r="E12" t="s">
        <v>80</v>
      </c>
      <c r="F12">
        <v>102392</v>
      </c>
      <c r="G12">
        <v>17172</v>
      </c>
      <c r="H12">
        <v>102394</v>
      </c>
      <c r="M12">
        <v>102392</v>
      </c>
      <c r="P12" t="s">
        <v>476</v>
      </c>
    </row>
    <row r="13" spans="2:19" x14ac:dyDescent="0.25">
      <c r="B13" t="s">
        <v>107</v>
      </c>
      <c r="C13" t="s">
        <v>138</v>
      </c>
      <c r="D13" t="s">
        <v>355</v>
      </c>
      <c r="E13" t="s">
        <v>80</v>
      </c>
      <c r="F13">
        <v>102392</v>
      </c>
      <c r="G13">
        <v>17180</v>
      </c>
      <c r="H13">
        <v>102394</v>
      </c>
      <c r="M13">
        <v>102392</v>
      </c>
      <c r="P13" t="s">
        <v>477</v>
      </c>
    </row>
    <row r="14" spans="2:19" x14ac:dyDescent="0.25">
      <c r="B14" t="s">
        <v>107</v>
      </c>
      <c r="C14" t="s">
        <v>139</v>
      </c>
      <c r="D14" t="s">
        <v>356</v>
      </c>
      <c r="E14" t="s">
        <v>80</v>
      </c>
      <c r="F14">
        <v>102392</v>
      </c>
      <c r="G14">
        <v>17180</v>
      </c>
      <c r="H14">
        <v>102394</v>
      </c>
      <c r="M14">
        <v>102392</v>
      </c>
      <c r="P14" t="s">
        <v>478</v>
      </c>
    </row>
    <row r="15" spans="2:19" x14ac:dyDescent="0.25">
      <c r="B15" t="s">
        <v>107</v>
      </c>
      <c r="C15" t="s">
        <v>140</v>
      </c>
      <c r="D15" t="s">
        <v>357</v>
      </c>
      <c r="E15" t="s">
        <v>80</v>
      </c>
      <c r="F15">
        <v>102392</v>
      </c>
      <c r="G15">
        <v>17176</v>
      </c>
      <c r="H15">
        <v>102394</v>
      </c>
      <c r="M15">
        <v>102392</v>
      </c>
      <c r="P15" t="s">
        <v>479</v>
      </c>
    </row>
    <row r="16" spans="2:19" x14ac:dyDescent="0.25">
      <c r="B16" t="s">
        <v>107</v>
      </c>
      <c r="C16" t="s">
        <v>141</v>
      </c>
      <c r="D16" t="s">
        <v>358</v>
      </c>
      <c r="E16" t="s">
        <v>80</v>
      </c>
      <c r="F16">
        <v>102392</v>
      </c>
      <c r="G16">
        <v>17176</v>
      </c>
      <c r="H16">
        <v>102394</v>
      </c>
      <c r="M16">
        <v>102392</v>
      </c>
      <c r="P16" t="s">
        <v>480</v>
      </c>
    </row>
    <row r="17" spans="2:16" x14ac:dyDescent="0.25">
      <c r="B17" t="s">
        <v>107</v>
      </c>
      <c r="C17" t="s">
        <v>142</v>
      </c>
      <c r="D17" t="s">
        <v>359</v>
      </c>
      <c r="E17" t="s">
        <v>80</v>
      </c>
      <c r="F17">
        <v>102392</v>
      </c>
      <c r="G17">
        <v>17176</v>
      </c>
      <c r="H17">
        <v>102394</v>
      </c>
      <c r="M17">
        <v>102392</v>
      </c>
      <c r="P17" t="s">
        <v>481</v>
      </c>
    </row>
    <row r="18" spans="2:16" x14ac:dyDescent="0.25">
      <c r="B18" t="s">
        <v>107</v>
      </c>
      <c r="C18" t="s">
        <v>143</v>
      </c>
      <c r="D18" t="s">
        <v>360</v>
      </c>
      <c r="E18" t="s">
        <v>80</v>
      </c>
      <c r="F18">
        <v>102392</v>
      </c>
      <c r="G18">
        <v>17180</v>
      </c>
      <c r="H18">
        <v>102394</v>
      </c>
      <c r="M18">
        <v>102392</v>
      </c>
      <c r="P18" t="s">
        <v>482</v>
      </c>
    </row>
    <row r="19" spans="2:16" x14ac:dyDescent="0.25">
      <c r="B19" t="s">
        <v>107</v>
      </c>
      <c r="C19" t="s">
        <v>144</v>
      </c>
      <c r="D19" t="s">
        <v>361</v>
      </c>
      <c r="E19" t="s">
        <v>80</v>
      </c>
      <c r="F19">
        <v>102392</v>
      </c>
      <c r="G19">
        <v>17176</v>
      </c>
      <c r="H19">
        <v>102394</v>
      </c>
      <c r="M19">
        <v>102392</v>
      </c>
    </row>
    <row r="20" spans="2:16" x14ac:dyDescent="0.25">
      <c r="B20" t="s">
        <v>107</v>
      </c>
      <c r="C20" t="s">
        <v>145</v>
      </c>
      <c r="D20" t="s">
        <v>362</v>
      </c>
      <c r="E20" t="s">
        <v>80</v>
      </c>
      <c r="F20">
        <v>102392</v>
      </c>
      <c r="G20">
        <v>17188</v>
      </c>
      <c r="H20">
        <v>102394</v>
      </c>
      <c r="M20">
        <v>102392</v>
      </c>
    </row>
    <row r="21" spans="2:16" x14ac:dyDescent="0.25">
      <c r="B21" t="s">
        <v>107</v>
      </c>
      <c r="C21" t="s">
        <v>146</v>
      </c>
      <c r="D21" t="s">
        <v>363</v>
      </c>
      <c r="E21" t="s">
        <v>80</v>
      </c>
      <c r="F21">
        <v>102392</v>
      </c>
      <c r="G21">
        <v>17188</v>
      </c>
      <c r="H21">
        <v>102394</v>
      </c>
      <c r="M21">
        <v>102392</v>
      </c>
    </row>
    <row r="22" spans="2:16" x14ac:dyDescent="0.25">
      <c r="B22" t="s">
        <v>107</v>
      </c>
      <c r="C22" t="s">
        <v>147</v>
      </c>
      <c r="D22" t="s">
        <v>364</v>
      </c>
      <c r="E22" t="s">
        <v>80</v>
      </c>
      <c r="F22">
        <v>102392</v>
      </c>
      <c r="G22">
        <v>17188</v>
      </c>
      <c r="H22">
        <v>102394</v>
      </c>
      <c r="M22">
        <v>102392</v>
      </c>
    </row>
    <row r="23" spans="2:16" x14ac:dyDescent="0.25">
      <c r="B23" t="s">
        <v>107</v>
      </c>
      <c r="C23" t="s">
        <v>148</v>
      </c>
      <c r="D23" t="s">
        <v>365</v>
      </c>
      <c r="E23" t="s">
        <v>80</v>
      </c>
      <c r="F23">
        <v>102392</v>
      </c>
      <c r="G23">
        <v>17188</v>
      </c>
      <c r="H23">
        <v>102394</v>
      </c>
      <c r="M23">
        <v>102392</v>
      </c>
    </row>
    <row r="24" spans="2:16" x14ac:dyDescent="0.25">
      <c r="B24" t="s">
        <v>107</v>
      </c>
      <c r="C24" t="s">
        <v>149</v>
      </c>
      <c r="D24" t="s">
        <v>366</v>
      </c>
      <c r="E24" t="s">
        <v>80</v>
      </c>
      <c r="F24">
        <v>102392</v>
      </c>
      <c r="G24">
        <v>17184</v>
      </c>
      <c r="H24">
        <v>102394</v>
      </c>
      <c r="M24">
        <v>102392</v>
      </c>
    </row>
    <row r="25" spans="2:16" x14ac:dyDescent="0.25">
      <c r="B25" t="s">
        <v>107</v>
      </c>
      <c r="C25" t="s">
        <v>150</v>
      </c>
      <c r="D25" t="s">
        <v>367</v>
      </c>
      <c r="E25" t="s">
        <v>80</v>
      </c>
      <c r="F25">
        <v>102392</v>
      </c>
      <c r="G25">
        <v>17184</v>
      </c>
      <c r="H25">
        <v>102394</v>
      </c>
      <c r="M25">
        <v>102392</v>
      </c>
    </row>
    <row r="26" spans="2:16" x14ac:dyDescent="0.25">
      <c r="B26" t="s">
        <v>107</v>
      </c>
      <c r="C26" t="s">
        <v>109</v>
      </c>
      <c r="D26" t="s">
        <v>274</v>
      </c>
      <c r="E26" t="s">
        <v>80</v>
      </c>
      <c r="F26">
        <v>0</v>
      </c>
      <c r="G26">
        <v>0</v>
      </c>
      <c r="H26">
        <v>102394</v>
      </c>
      <c r="I26" s="1" t="s">
        <v>107</v>
      </c>
      <c r="J26" s="1" t="s">
        <v>152</v>
      </c>
      <c r="K26" s="1" t="s">
        <v>369</v>
      </c>
      <c r="L26" s="1" t="s">
        <v>80</v>
      </c>
      <c r="M26" s="1">
        <v>102392</v>
      </c>
      <c r="N26" s="1">
        <v>17172</v>
      </c>
      <c r="O26" s="1">
        <v>102394</v>
      </c>
    </row>
    <row r="27" spans="2:16" x14ac:dyDescent="0.25">
      <c r="B27" t="s">
        <v>107</v>
      </c>
      <c r="C27" t="s">
        <v>109</v>
      </c>
      <c r="D27" t="s">
        <v>275</v>
      </c>
      <c r="E27" t="s">
        <v>80</v>
      </c>
      <c r="F27">
        <v>0</v>
      </c>
      <c r="G27">
        <v>0</v>
      </c>
      <c r="H27">
        <v>102394</v>
      </c>
      <c r="I27" s="1" t="s">
        <v>107</v>
      </c>
      <c r="J27" s="1" t="s">
        <v>153</v>
      </c>
      <c r="K27" s="1" t="s">
        <v>370</v>
      </c>
      <c r="L27" s="1" t="s">
        <v>80</v>
      </c>
      <c r="M27" s="1">
        <v>102392</v>
      </c>
      <c r="N27" s="1">
        <v>17180</v>
      </c>
      <c r="O27" s="1">
        <v>102394</v>
      </c>
    </row>
    <row r="28" spans="2:16" x14ac:dyDescent="0.25">
      <c r="B28" t="s">
        <v>107</v>
      </c>
      <c r="C28" t="s">
        <v>109</v>
      </c>
      <c r="D28" t="s">
        <v>276</v>
      </c>
      <c r="E28" t="s">
        <v>80</v>
      </c>
      <c r="F28">
        <v>0</v>
      </c>
      <c r="G28">
        <v>0</v>
      </c>
      <c r="H28">
        <v>102394</v>
      </c>
      <c r="I28" s="1" t="s">
        <v>107</v>
      </c>
      <c r="J28" s="1" t="s">
        <v>154</v>
      </c>
      <c r="K28" s="1" t="s">
        <v>371</v>
      </c>
      <c r="L28" s="1" t="s">
        <v>80</v>
      </c>
      <c r="M28" s="1">
        <v>102392</v>
      </c>
      <c r="N28" s="1">
        <v>17176</v>
      </c>
      <c r="O28" s="1">
        <v>102394</v>
      </c>
    </row>
    <row r="29" spans="2:16" x14ac:dyDescent="0.25">
      <c r="B29" t="s">
        <v>107</v>
      </c>
      <c r="C29" t="s">
        <v>109</v>
      </c>
      <c r="D29" t="s">
        <v>277</v>
      </c>
      <c r="E29" t="s">
        <v>80</v>
      </c>
      <c r="F29">
        <v>0</v>
      </c>
      <c r="G29">
        <v>0</v>
      </c>
      <c r="H29">
        <v>102394</v>
      </c>
      <c r="I29" s="1" t="s">
        <v>107</v>
      </c>
      <c r="J29" s="1" t="s">
        <v>155</v>
      </c>
      <c r="K29" s="1" t="s">
        <v>372</v>
      </c>
      <c r="L29" s="1" t="s">
        <v>80</v>
      </c>
      <c r="M29" s="1">
        <v>102392</v>
      </c>
      <c r="N29" s="1">
        <v>17172</v>
      </c>
      <c r="O29" s="1">
        <v>102394</v>
      </c>
    </row>
    <row r="30" spans="2:16" x14ac:dyDescent="0.25">
      <c r="B30" t="s">
        <v>107</v>
      </c>
      <c r="C30" t="s">
        <v>109</v>
      </c>
      <c r="D30" t="s">
        <v>278</v>
      </c>
      <c r="E30" t="s">
        <v>80</v>
      </c>
      <c r="F30">
        <v>0</v>
      </c>
      <c r="G30">
        <v>0</v>
      </c>
      <c r="H30">
        <v>102394</v>
      </c>
      <c r="I30" s="1" t="s">
        <v>107</v>
      </c>
      <c r="J30" s="1" t="s">
        <v>156</v>
      </c>
      <c r="K30" s="1" t="s">
        <v>373</v>
      </c>
      <c r="L30" s="1" t="s">
        <v>80</v>
      </c>
      <c r="M30" s="1">
        <v>102392</v>
      </c>
      <c r="N30" s="1">
        <v>17172</v>
      </c>
      <c r="O30" s="1">
        <v>102394</v>
      </c>
    </row>
    <row r="31" spans="2:16" x14ac:dyDescent="0.25">
      <c r="B31" t="s">
        <v>107</v>
      </c>
      <c r="C31" t="s">
        <v>109</v>
      </c>
      <c r="D31" t="s">
        <v>279</v>
      </c>
      <c r="E31" t="s">
        <v>80</v>
      </c>
      <c r="F31">
        <v>0</v>
      </c>
      <c r="G31">
        <v>0</v>
      </c>
      <c r="H31">
        <v>102394</v>
      </c>
      <c r="I31" s="1" t="s">
        <v>107</v>
      </c>
      <c r="J31" s="1" t="s">
        <v>157</v>
      </c>
      <c r="K31" s="1" t="s">
        <v>374</v>
      </c>
      <c r="L31" s="1" t="s">
        <v>80</v>
      </c>
      <c r="M31" s="1">
        <v>102392</v>
      </c>
      <c r="N31" s="1">
        <v>17180</v>
      </c>
      <c r="O31" s="1">
        <v>102394</v>
      </c>
    </row>
    <row r="32" spans="2:16" x14ac:dyDescent="0.25">
      <c r="B32" t="s">
        <v>107</v>
      </c>
      <c r="C32" t="s">
        <v>109</v>
      </c>
      <c r="D32" t="s">
        <v>280</v>
      </c>
      <c r="E32" t="s">
        <v>80</v>
      </c>
      <c r="F32">
        <v>0</v>
      </c>
      <c r="G32">
        <v>0</v>
      </c>
      <c r="H32">
        <v>102394</v>
      </c>
      <c r="I32" s="1" t="s">
        <v>107</v>
      </c>
      <c r="J32" s="1" t="s">
        <v>158</v>
      </c>
      <c r="K32" s="1" t="s">
        <v>375</v>
      </c>
      <c r="L32" s="1" t="s">
        <v>80</v>
      </c>
      <c r="M32" s="1">
        <v>102392</v>
      </c>
      <c r="N32" s="1">
        <v>17180</v>
      </c>
      <c r="O32" s="1">
        <v>102394</v>
      </c>
    </row>
    <row r="33" spans="2:15" x14ac:dyDescent="0.25">
      <c r="B33" t="s">
        <v>107</v>
      </c>
      <c r="C33" t="s">
        <v>109</v>
      </c>
      <c r="D33" t="s">
        <v>281</v>
      </c>
      <c r="E33" t="s">
        <v>80</v>
      </c>
      <c r="F33">
        <v>0</v>
      </c>
      <c r="G33">
        <v>0</v>
      </c>
      <c r="H33">
        <v>102394</v>
      </c>
      <c r="I33" s="1" t="s">
        <v>107</v>
      </c>
      <c r="J33" s="1" t="s">
        <v>159</v>
      </c>
      <c r="K33" s="1" t="s">
        <v>376</v>
      </c>
      <c r="L33" s="1" t="s">
        <v>80</v>
      </c>
      <c r="M33" s="1">
        <v>102392</v>
      </c>
      <c r="N33" s="1">
        <v>17176</v>
      </c>
      <c r="O33" s="1">
        <v>102394</v>
      </c>
    </row>
    <row r="34" spans="2:15" x14ac:dyDescent="0.25">
      <c r="B34" t="s">
        <v>107</v>
      </c>
      <c r="C34" t="s">
        <v>109</v>
      </c>
      <c r="D34" t="s">
        <v>282</v>
      </c>
      <c r="E34" t="s">
        <v>80</v>
      </c>
      <c r="F34">
        <v>0</v>
      </c>
      <c r="G34">
        <v>0</v>
      </c>
      <c r="H34">
        <v>102394</v>
      </c>
      <c r="I34" s="1" t="s">
        <v>107</v>
      </c>
      <c r="J34" s="1" t="s">
        <v>160</v>
      </c>
      <c r="K34" s="1" t="s">
        <v>377</v>
      </c>
      <c r="L34" s="1" t="s">
        <v>80</v>
      </c>
      <c r="M34" s="1">
        <v>102392</v>
      </c>
      <c r="N34" s="1">
        <v>17180</v>
      </c>
      <c r="O34" s="1">
        <v>102394</v>
      </c>
    </row>
    <row r="35" spans="2:15" x14ac:dyDescent="0.25">
      <c r="B35" t="s">
        <v>107</v>
      </c>
      <c r="C35" t="s">
        <v>109</v>
      </c>
      <c r="D35" t="s">
        <v>283</v>
      </c>
      <c r="E35" t="s">
        <v>80</v>
      </c>
      <c r="F35">
        <v>0</v>
      </c>
      <c r="G35">
        <v>0</v>
      </c>
      <c r="H35">
        <v>102394</v>
      </c>
      <c r="I35" s="1" t="s">
        <v>107</v>
      </c>
      <c r="J35" s="1" t="s">
        <v>161</v>
      </c>
      <c r="K35" s="1" t="s">
        <v>378</v>
      </c>
      <c r="L35" s="1" t="s">
        <v>80</v>
      </c>
      <c r="M35" s="1">
        <v>102392</v>
      </c>
      <c r="N35" s="1">
        <v>17172</v>
      </c>
      <c r="O35" s="1">
        <v>102394</v>
      </c>
    </row>
    <row r="36" spans="2:15" x14ac:dyDescent="0.25">
      <c r="B36" t="s">
        <v>107</v>
      </c>
      <c r="C36" t="s">
        <v>109</v>
      </c>
      <c r="D36" t="s">
        <v>284</v>
      </c>
      <c r="E36" t="s">
        <v>80</v>
      </c>
      <c r="F36">
        <v>0</v>
      </c>
      <c r="G36">
        <v>0</v>
      </c>
      <c r="H36">
        <v>102394</v>
      </c>
      <c r="I36" s="1" t="s">
        <v>107</v>
      </c>
      <c r="J36" s="1" t="s">
        <v>162</v>
      </c>
      <c r="K36" s="1" t="s">
        <v>379</v>
      </c>
      <c r="L36" s="1" t="s">
        <v>80</v>
      </c>
      <c r="M36" s="1">
        <v>102392</v>
      </c>
      <c r="N36" s="1">
        <v>17176</v>
      </c>
      <c r="O36" s="1">
        <v>102394</v>
      </c>
    </row>
    <row r="37" spans="2:15" x14ac:dyDescent="0.25">
      <c r="B37" t="s">
        <v>107</v>
      </c>
      <c r="C37" t="s">
        <v>109</v>
      </c>
      <c r="D37" t="s">
        <v>285</v>
      </c>
      <c r="E37" t="s">
        <v>80</v>
      </c>
      <c r="F37">
        <v>0</v>
      </c>
      <c r="G37">
        <v>0</v>
      </c>
      <c r="H37">
        <v>102394</v>
      </c>
      <c r="I37" s="1" t="s">
        <v>107</v>
      </c>
      <c r="J37" s="1" t="s">
        <v>163</v>
      </c>
      <c r="K37" s="1" t="s">
        <v>380</v>
      </c>
      <c r="L37" s="1" t="s">
        <v>80</v>
      </c>
      <c r="M37" s="1">
        <v>102392</v>
      </c>
      <c r="N37" s="1">
        <v>17180</v>
      </c>
      <c r="O37" s="1">
        <v>102394</v>
      </c>
    </row>
    <row r="38" spans="2:15" x14ac:dyDescent="0.25">
      <c r="B38" t="s">
        <v>107</v>
      </c>
      <c r="C38" t="s">
        <v>109</v>
      </c>
      <c r="D38" t="s">
        <v>286</v>
      </c>
      <c r="E38" t="s">
        <v>80</v>
      </c>
      <c r="F38">
        <v>0</v>
      </c>
      <c r="G38">
        <v>0</v>
      </c>
      <c r="H38">
        <v>102394</v>
      </c>
      <c r="I38" s="1" t="s">
        <v>107</v>
      </c>
      <c r="J38" s="1" t="s">
        <v>164</v>
      </c>
      <c r="K38" s="1" t="s">
        <v>381</v>
      </c>
      <c r="L38" s="1" t="s">
        <v>80</v>
      </c>
      <c r="M38" s="1">
        <v>102392</v>
      </c>
      <c r="N38" s="1">
        <v>17180</v>
      </c>
      <c r="O38" s="1">
        <v>102394</v>
      </c>
    </row>
    <row r="39" spans="2:15" x14ac:dyDescent="0.25">
      <c r="B39" t="s">
        <v>107</v>
      </c>
      <c r="C39" t="s">
        <v>109</v>
      </c>
      <c r="D39" t="s">
        <v>287</v>
      </c>
      <c r="E39" t="s">
        <v>80</v>
      </c>
      <c r="F39">
        <v>0</v>
      </c>
      <c r="G39">
        <v>0</v>
      </c>
      <c r="H39">
        <v>102394</v>
      </c>
      <c r="I39" s="1" t="s">
        <v>107</v>
      </c>
      <c r="J39" s="1" t="s">
        <v>165</v>
      </c>
      <c r="K39" s="1" t="s">
        <v>382</v>
      </c>
      <c r="L39" s="1" t="s">
        <v>80</v>
      </c>
      <c r="M39" s="1">
        <v>102392</v>
      </c>
      <c r="N39" s="1">
        <v>17180</v>
      </c>
      <c r="O39" s="1">
        <v>102394</v>
      </c>
    </row>
    <row r="40" spans="2:15" x14ac:dyDescent="0.25">
      <c r="B40" t="s">
        <v>107</v>
      </c>
      <c r="C40" t="s">
        <v>109</v>
      </c>
      <c r="D40" t="s">
        <v>288</v>
      </c>
      <c r="E40" t="s">
        <v>80</v>
      </c>
      <c r="F40">
        <v>0</v>
      </c>
      <c r="G40">
        <v>0</v>
      </c>
      <c r="H40">
        <v>102394</v>
      </c>
      <c r="I40" s="1" t="s">
        <v>107</v>
      </c>
      <c r="J40" s="1" t="s">
        <v>166</v>
      </c>
      <c r="K40" s="1" t="s">
        <v>383</v>
      </c>
      <c r="L40" s="1" t="s">
        <v>80</v>
      </c>
      <c r="M40" s="1">
        <v>102392</v>
      </c>
      <c r="N40" s="1">
        <v>17176</v>
      </c>
      <c r="O40" s="1">
        <v>102394</v>
      </c>
    </row>
    <row r="41" spans="2:15" x14ac:dyDescent="0.25">
      <c r="B41" t="s">
        <v>107</v>
      </c>
      <c r="C41" t="s">
        <v>109</v>
      </c>
      <c r="D41" t="s">
        <v>289</v>
      </c>
      <c r="E41" t="s">
        <v>80</v>
      </c>
      <c r="F41">
        <v>0</v>
      </c>
      <c r="G41">
        <v>0</v>
      </c>
      <c r="H41">
        <v>102394</v>
      </c>
      <c r="I41" s="1" t="s">
        <v>107</v>
      </c>
      <c r="J41" s="1" t="s">
        <v>167</v>
      </c>
      <c r="K41" s="1" t="s">
        <v>384</v>
      </c>
      <c r="L41" s="1" t="s">
        <v>80</v>
      </c>
      <c r="M41" s="1">
        <v>102392</v>
      </c>
      <c r="N41" s="1">
        <v>17180</v>
      </c>
      <c r="O41" s="1">
        <v>102394</v>
      </c>
    </row>
    <row r="42" spans="2:15" x14ac:dyDescent="0.25">
      <c r="B42" t="s">
        <v>107</v>
      </c>
      <c r="C42" t="s">
        <v>109</v>
      </c>
      <c r="D42" t="s">
        <v>290</v>
      </c>
      <c r="E42" t="s">
        <v>80</v>
      </c>
      <c r="F42">
        <v>0</v>
      </c>
      <c r="G42">
        <v>0</v>
      </c>
      <c r="H42">
        <v>102394</v>
      </c>
      <c r="I42" s="1" t="s">
        <v>107</v>
      </c>
      <c r="J42" s="1" t="s">
        <v>168</v>
      </c>
      <c r="K42" s="1" t="s">
        <v>385</v>
      </c>
      <c r="L42" s="1" t="s">
        <v>80</v>
      </c>
      <c r="M42" s="1">
        <v>102392</v>
      </c>
      <c r="N42" s="1">
        <v>17176</v>
      </c>
      <c r="O42" s="1">
        <v>102394</v>
      </c>
    </row>
    <row r="43" spans="2:15" x14ac:dyDescent="0.25">
      <c r="B43" t="s">
        <v>107</v>
      </c>
      <c r="C43" t="s">
        <v>109</v>
      </c>
      <c r="D43" t="s">
        <v>291</v>
      </c>
      <c r="E43" t="s">
        <v>80</v>
      </c>
      <c r="F43">
        <v>0</v>
      </c>
      <c r="G43">
        <v>0</v>
      </c>
      <c r="H43">
        <v>102394</v>
      </c>
      <c r="I43" s="1" t="s">
        <v>107</v>
      </c>
      <c r="J43" s="1" t="s">
        <v>169</v>
      </c>
      <c r="K43" s="1" t="s">
        <v>386</v>
      </c>
      <c r="L43" s="1" t="s">
        <v>80</v>
      </c>
      <c r="M43" s="1">
        <v>102392</v>
      </c>
      <c r="N43" s="1">
        <v>17176</v>
      </c>
      <c r="O43" s="1">
        <v>102394</v>
      </c>
    </row>
    <row r="44" spans="2:15" x14ac:dyDescent="0.25">
      <c r="B44" t="s">
        <v>107</v>
      </c>
      <c r="C44" t="s">
        <v>109</v>
      </c>
      <c r="D44" t="s">
        <v>292</v>
      </c>
      <c r="E44" t="s">
        <v>80</v>
      </c>
      <c r="F44">
        <v>0</v>
      </c>
      <c r="G44">
        <v>0</v>
      </c>
      <c r="H44">
        <v>102394</v>
      </c>
      <c r="I44" s="1" t="s">
        <v>107</v>
      </c>
      <c r="J44" s="1" t="s">
        <v>170</v>
      </c>
      <c r="K44" s="1" t="s">
        <v>387</v>
      </c>
      <c r="L44" s="1" t="s">
        <v>80</v>
      </c>
      <c r="M44" s="1">
        <v>102392</v>
      </c>
      <c r="N44" s="1">
        <v>17176</v>
      </c>
      <c r="O44" s="1">
        <v>102394</v>
      </c>
    </row>
    <row r="45" spans="2:15" x14ac:dyDescent="0.25">
      <c r="B45" t="s">
        <v>107</v>
      </c>
      <c r="C45" t="s">
        <v>109</v>
      </c>
      <c r="D45" t="s">
        <v>293</v>
      </c>
      <c r="E45" t="s">
        <v>80</v>
      </c>
      <c r="F45">
        <v>0</v>
      </c>
      <c r="G45">
        <v>0</v>
      </c>
      <c r="H45">
        <v>102394</v>
      </c>
      <c r="I45" s="1" t="s">
        <v>107</v>
      </c>
      <c r="J45" s="1" t="s">
        <v>171</v>
      </c>
      <c r="K45" s="1" t="s">
        <v>388</v>
      </c>
      <c r="L45" s="1" t="s">
        <v>80</v>
      </c>
      <c r="M45" s="1">
        <v>102392</v>
      </c>
      <c r="N45" s="1">
        <v>17176</v>
      </c>
      <c r="O45" s="1">
        <v>102394</v>
      </c>
    </row>
    <row r="46" spans="2:15" x14ac:dyDescent="0.25">
      <c r="B46" t="s">
        <v>107</v>
      </c>
      <c r="C46" t="s">
        <v>109</v>
      </c>
      <c r="D46" t="s">
        <v>294</v>
      </c>
      <c r="E46" t="s">
        <v>80</v>
      </c>
      <c r="F46">
        <v>0</v>
      </c>
      <c r="G46">
        <v>0</v>
      </c>
      <c r="H46">
        <v>102394</v>
      </c>
      <c r="I46" s="1" t="s">
        <v>107</v>
      </c>
      <c r="J46" s="1" t="s">
        <v>172</v>
      </c>
      <c r="K46" s="1" t="s">
        <v>389</v>
      </c>
      <c r="L46" s="1" t="s">
        <v>80</v>
      </c>
      <c r="M46" s="1">
        <v>102392</v>
      </c>
      <c r="N46" s="1">
        <v>17180</v>
      </c>
      <c r="O46" s="1">
        <v>102394</v>
      </c>
    </row>
    <row r="47" spans="2:15" x14ac:dyDescent="0.25">
      <c r="B47" t="s">
        <v>107</v>
      </c>
      <c r="C47" t="s">
        <v>109</v>
      </c>
      <c r="D47" t="s">
        <v>295</v>
      </c>
      <c r="E47" t="s">
        <v>80</v>
      </c>
      <c r="F47">
        <v>0</v>
      </c>
      <c r="G47">
        <v>0</v>
      </c>
      <c r="H47">
        <v>102394</v>
      </c>
      <c r="I47" s="1" t="s">
        <v>107</v>
      </c>
      <c r="J47" s="1" t="s">
        <v>173</v>
      </c>
      <c r="K47" s="1" t="s">
        <v>390</v>
      </c>
      <c r="L47" s="1" t="s">
        <v>80</v>
      </c>
      <c r="M47" s="1">
        <v>102392</v>
      </c>
      <c r="N47" s="1">
        <v>17176</v>
      </c>
      <c r="O47" s="1">
        <v>102394</v>
      </c>
    </row>
    <row r="48" spans="2:15" x14ac:dyDescent="0.25">
      <c r="B48" t="s">
        <v>107</v>
      </c>
      <c r="C48" t="s">
        <v>109</v>
      </c>
      <c r="D48" t="s">
        <v>296</v>
      </c>
      <c r="E48" t="s">
        <v>80</v>
      </c>
      <c r="F48">
        <v>0</v>
      </c>
      <c r="G48">
        <v>0</v>
      </c>
      <c r="H48">
        <v>102394</v>
      </c>
      <c r="I48" s="1" t="s">
        <v>107</v>
      </c>
      <c r="J48" s="1" t="s">
        <v>174</v>
      </c>
      <c r="K48" s="1" t="s">
        <v>391</v>
      </c>
      <c r="L48" s="1" t="s">
        <v>80</v>
      </c>
      <c r="M48" s="1">
        <v>102392</v>
      </c>
      <c r="N48" s="1">
        <v>17180</v>
      </c>
      <c r="O48" s="1">
        <v>102394</v>
      </c>
    </row>
    <row r="49" spans="2:15" x14ac:dyDescent="0.25">
      <c r="B49" t="s">
        <v>107</v>
      </c>
      <c r="C49" t="s">
        <v>109</v>
      </c>
      <c r="D49" t="s">
        <v>297</v>
      </c>
      <c r="E49" t="s">
        <v>80</v>
      </c>
      <c r="F49">
        <v>0</v>
      </c>
      <c r="G49">
        <v>0</v>
      </c>
      <c r="H49">
        <v>102394</v>
      </c>
      <c r="I49" s="1" t="s">
        <v>107</v>
      </c>
      <c r="J49" s="1" t="s">
        <v>175</v>
      </c>
      <c r="K49" s="1" t="s">
        <v>392</v>
      </c>
      <c r="L49" s="1" t="s">
        <v>80</v>
      </c>
      <c r="M49" s="1">
        <v>102392</v>
      </c>
      <c r="N49" s="1">
        <v>17176</v>
      </c>
      <c r="O49" s="1">
        <v>102394</v>
      </c>
    </row>
    <row r="50" spans="2:15" x14ac:dyDescent="0.25">
      <c r="B50" t="s">
        <v>107</v>
      </c>
      <c r="C50" t="s">
        <v>109</v>
      </c>
      <c r="D50" t="s">
        <v>298</v>
      </c>
      <c r="E50" t="s">
        <v>80</v>
      </c>
      <c r="F50">
        <v>0</v>
      </c>
      <c r="G50">
        <v>0</v>
      </c>
      <c r="H50">
        <v>102394</v>
      </c>
      <c r="I50" s="1" t="s">
        <v>107</v>
      </c>
      <c r="J50" s="1" t="s">
        <v>176</v>
      </c>
      <c r="K50" s="1" t="s">
        <v>393</v>
      </c>
      <c r="L50" s="1" t="s">
        <v>80</v>
      </c>
      <c r="M50" s="1">
        <v>102392</v>
      </c>
      <c r="N50" s="1">
        <v>17180</v>
      </c>
      <c r="O50" s="1">
        <v>102394</v>
      </c>
    </row>
    <row r="51" spans="2:15" x14ac:dyDescent="0.25">
      <c r="B51" t="s">
        <v>107</v>
      </c>
      <c r="C51" t="s">
        <v>109</v>
      </c>
      <c r="D51" t="s">
        <v>299</v>
      </c>
      <c r="E51" t="s">
        <v>80</v>
      </c>
      <c r="F51">
        <v>0</v>
      </c>
      <c r="G51">
        <v>0</v>
      </c>
      <c r="H51">
        <v>102394</v>
      </c>
      <c r="I51" s="1" t="s">
        <v>107</v>
      </c>
      <c r="J51" s="1" t="s">
        <v>177</v>
      </c>
      <c r="K51" s="1" t="s">
        <v>394</v>
      </c>
      <c r="L51" s="1" t="s">
        <v>80</v>
      </c>
      <c r="M51" s="1">
        <v>102392</v>
      </c>
      <c r="N51" s="1">
        <v>17176</v>
      </c>
      <c r="O51" s="1">
        <v>102394</v>
      </c>
    </row>
    <row r="52" spans="2:15" x14ac:dyDescent="0.25">
      <c r="B52" t="s">
        <v>107</v>
      </c>
      <c r="C52" t="s">
        <v>109</v>
      </c>
      <c r="D52" t="s">
        <v>300</v>
      </c>
      <c r="E52" t="s">
        <v>80</v>
      </c>
      <c r="F52">
        <v>0</v>
      </c>
      <c r="G52">
        <v>0</v>
      </c>
      <c r="H52">
        <v>102394</v>
      </c>
      <c r="I52" s="1" t="s">
        <v>107</v>
      </c>
      <c r="J52" s="1" t="s">
        <v>178</v>
      </c>
      <c r="K52" s="1" t="s">
        <v>395</v>
      </c>
      <c r="L52" s="1" t="s">
        <v>80</v>
      </c>
      <c r="M52" s="1">
        <v>102392</v>
      </c>
      <c r="N52" s="1">
        <v>17176</v>
      </c>
      <c r="O52" s="1">
        <v>102394</v>
      </c>
    </row>
    <row r="53" spans="2:15" x14ac:dyDescent="0.25">
      <c r="B53" t="s">
        <v>107</v>
      </c>
      <c r="C53" t="s">
        <v>109</v>
      </c>
      <c r="D53" t="s">
        <v>301</v>
      </c>
      <c r="E53" t="s">
        <v>80</v>
      </c>
      <c r="F53">
        <v>0</v>
      </c>
      <c r="G53">
        <v>0</v>
      </c>
      <c r="H53">
        <v>102394</v>
      </c>
      <c r="I53" s="1" t="s">
        <v>107</v>
      </c>
      <c r="J53" s="1" t="s">
        <v>179</v>
      </c>
      <c r="K53" s="1" t="s">
        <v>396</v>
      </c>
      <c r="L53" s="1" t="s">
        <v>80</v>
      </c>
      <c r="M53" s="1">
        <v>102392</v>
      </c>
      <c r="N53" s="1">
        <v>17176</v>
      </c>
      <c r="O53" s="1">
        <v>102394</v>
      </c>
    </row>
    <row r="54" spans="2:15" x14ac:dyDescent="0.25">
      <c r="B54" t="s">
        <v>107</v>
      </c>
      <c r="C54" t="s">
        <v>109</v>
      </c>
      <c r="D54" t="s">
        <v>302</v>
      </c>
      <c r="E54" t="s">
        <v>80</v>
      </c>
      <c r="F54">
        <v>0</v>
      </c>
      <c r="G54">
        <v>0</v>
      </c>
      <c r="H54">
        <v>102394</v>
      </c>
      <c r="I54" s="1" t="s">
        <v>107</v>
      </c>
      <c r="J54" s="1" t="s">
        <v>180</v>
      </c>
      <c r="K54" s="1" t="s">
        <v>397</v>
      </c>
      <c r="L54" s="1" t="s">
        <v>80</v>
      </c>
      <c r="M54" s="1">
        <v>102392</v>
      </c>
      <c r="N54" s="1">
        <v>17176</v>
      </c>
      <c r="O54" s="1">
        <v>102394</v>
      </c>
    </row>
    <row r="55" spans="2:15" x14ac:dyDescent="0.25">
      <c r="B55" t="s">
        <v>107</v>
      </c>
      <c r="C55" t="s">
        <v>109</v>
      </c>
      <c r="D55" t="s">
        <v>303</v>
      </c>
      <c r="E55" t="s">
        <v>80</v>
      </c>
      <c r="F55">
        <v>0</v>
      </c>
      <c r="G55">
        <v>0</v>
      </c>
      <c r="H55">
        <v>102394</v>
      </c>
      <c r="I55" s="1" t="s">
        <v>107</v>
      </c>
      <c r="J55" s="1" t="s">
        <v>181</v>
      </c>
      <c r="K55" s="1" t="s">
        <v>398</v>
      </c>
      <c r="L55" s="1" t="s">
        <v>80</v>
      </c>
      <c r="M55" s="1">
        <v>102392</v>
      </c>
      <c r="N55" s="1">
        <v>17180</v>
      </c>
      <c r="O55" s="1">
        <v>102394</v>
      </c>
    </row>
    <row r="56" spans="2:15" x14ac:dyDescent="0.25">
      <c r="B56" t="s">
        <v>107</v>
      </c>
      <c r="C56" t="s">
        <v>109</v>
      </c>
      <c r="D56" t="s">
        <v>304</v>
      </c>
      <c r="E56" t="s">
        <v>80</v>
      </c>
      <c r="F56">
        <v>0</v>
      </c>
      <c r="G56">
        <v>0</v>
      </c>
      <c r="H56">
        <v>102394</v>
      </c>
      <c r="I56" s="1" t="s">
        <v>107</v>
      </c>
      <c r="J56" s="1" t="s">
        <v>182</v>
      </c>
      <c r="K56" s="1" t="s">
        <v>399</v>
      </c>
      <c r="L56" s="1" t="s">
        <v>80</v>
      </c>
      <c r="M56" s="1">
        <v>102392</v>
      </c>
      <c r="N56" s="1">
        <v>17176</v>
      </c>
      <c r="O56" s="1">
        <v>102394</v>
      </c>
    </row>
    <row r="57" spans="2:15" x14ac:dyDescent="0.25">
      <c r="B57" t="s">
        <v>107</v>
      </c>
      <c r="C57" t="s">
        <v>109</v>
      </c>
      <c r="D57" t="s">
        <v>305</v>
      </c>
      <c r="E57" t="s">
        <v>80</v>
      </c>
      <c r="F57">
        <v>0</v>
      </c>
      <c r="G57">
        <v>0</v>
      </c>
      <c r="H57">
        <v>102394</v>
      </c>
      <c r="I57" s="1" t="s">
        <v>107</v>
      </c>
      <c r="J57" s="1" t="s">
        <v>183</v>
      </c>
      <c r="K57" s="1" t="s">
        <v>400</v>
      </c>
      <c r="L57" s="1" t="s">
        <v>80</v>
      </c>
      <c r="M57" s="1">
        <v>102392</v>
      </c>
      <c r="N57" s="1">
        <v>17172</v>
      </c>
      <c r="O57" s="1">
        <v>102394</v>
      </c>
    </row>
    <row r="58" spans="2:15" x14ac:dyDescent="0.25">
      <c r="B58" t="s">
        <v>107</v>
      </c>
      <c r="C58" t="s">
        <v>109</v>
      </c>
      <c r="D58" t="s">
        <v>306</v>
      </c>
      <c r="E58" t="s">
        <v>80</v>
      </c>
      <c r="F58">
        <v>0</v>
      </c>
      <c r="G58">
        <v>0</v>
      </c>
      <c r="H58">
        <v>102394</v>
      </c>
      <c r="I58" s="1" t="s">
        <v>107</v>
      </c>
      <c r="J58" s="1" t="s">
        <v>184</v>
      </c>
      <c r="K58" s="1" t="s">
        <v>401</v>
      </c>
      <c r="L58" s="1" t="s">
        <v>80</v>
      </c>
      <c r="M58" s="1">
        <v>102392</v>
      </c>
      <c r="N58" s="1">
        <v>17176</v>
      </c>
      <c r="O58" s="1">
        <v>102394</v>
      </c>
    </row>
    <row r="59" spans="2:15" x14ac:dyDescent="0.25">
      <c r="B59" t="s">
        <v>107</v>
      </c>
      <c r="C59" t="s">
        <v>109</v>
      </c>
      <c r="D59" t="s">
        <v>307</v>
      </c>
      <c r="E59" t="s">
        <v>80</v>
      </c>
      <c r="F59">
        <v>0</v>
      </c>
      <c r="G59">
        <v>0</v>
      </c>
      <c r="H59">
        <v>102394</v>
      </c>
      <c r="I59" s="1" t="s">
        <v>107</v>
      </c>
      <c r="J59" s="1" t="s">
        <v>185</v>
      </c>
      <c r="K59" s="1" t="s">
        <v>402</v>
      </c>
      <c r="L59" s="1" t="s">
        <v>80</v>
      </c>
      <c r="M59" s="1">
        <v>102392</v>
      </c>
      <c r="N59" s="1">
        <v>17176</v>
      </c>
      <c r="O59" s="1">
        <v>102394</v>
      </c>
    </row>
    <row r="60" spans="2:15" x14ac:dyDescent="0.25">
      <c r="B60" t="s">
        <v>107</v>
      </c>
      <c r="C60" t="s">
        <v>109</v>
      </c>
      <c r="D60" t="s">
        <v>308</v>
      </c>
      <c r="E60" t="s">
        <v>80</v>
      </c>
      <c r="F60">
        <v>0</v>
      </c>
      <c r="G60">
        <v>0</v>
      </c>
      <c r="H60">
        <v>102394</v>
      </c>
      <c r="I60" s="1" t="s">
        <v>107</v>
      </c>
      <c r="J60" s="1" t="s">
        <v>186</v>
      </c>
      <c r="K60" s="1" t="s">
        <v>403</v>
      </c>
      <c r="L60" s="1" t="s">
        <v>80</v>
      </c>
      <c r="M60" s="1">
        <v>102392</v>
      </c>
      <c r="N60" s="1">
        <v>17176</v>
      </c>
      <c r="O60" s="1">
        <v>102394</v>
      </c>
    </row>
    <row r="61" spans="2:15" x14ac:dyDescent="0.25">
      <c r="B61" t="s">
        <v>107</v>
      </c>
      <c r="C61" t="s">
        <v>109</v>
      </c>
      <c r="D61" t="s">
        <v>309</v>
      </c>
      <c r="E61" t="s">
        <v>80</v>
      </c>
      <c r="F61">
        <v>0</v>
      </c>
      <c r="G61">
        <v>0</v>
      </c>
      <c r="H61">
        <v>102394</v>
      </c>
      <c r="I61" s="1" t="s">
        <v>107</v>
      </c>
      <c r="J61" s="1" t="s">
        <v>187</v>
      </c>
      <c r="K61" s="1" t="s">
        <v>404</v>
      </c>
      <c r="L61" s="1" t="s">
        <v>80</v>
      </c>
      <c r="M61" s="1">
        <v>102392</v>
      </c>
      <c r="N61" s="1">
        <v>17176</v>
      </c>
      <c r="O61" s="1">
        <v>102394</v>
      </c>
    </row>
    <row r="62" spans="2:15" x14ac:dyDescent="0.25">
      <c r="B62" t="s">
        <v>107</v>
      </c>
      <c r="C62" t="s">
        <v>109</v>
      </c>
      <c r="D62" t="s">
        <v>310</v>
      </c>
      <c r="E62" t="s">
        <v>80</v>
      </c>
      <c r="F62">
        <v>0</v>
      </c>
      <c r="G62">
        <v>0</v>
      </c>
      <c r="H62">
        <v>102394</v>
      </c>
      <c r="I62" s="1" t="s">
        <v>107</v>
      </c>
      <c r="J62" s="1" t="s">
        <v>188</v>
      </c>
      <c r="K62" s="1" t="s">
        <v>405</v>
      </c>
      <c r="L62" s="1" t="s">
        <v>80</v>
      </c>
      <c r="M62" s="1">
        <v>102392</v>
      </c>
      <c r="N62" s="1">
        <v>17176</v>
      </c>
      <c r="O62" s="1">
        <v>102394</v>
      </c>
    </row>
    <row r="63" spans="2:15" x14ac:dyDescent="0.25">
      <c r="B63" t="s">
        <v>107</v>
      </c>
      <c r="C63" t="s">
        <v>109</v>
      </c>
      <c r="D63" t="s">
        <v>311</v>
      </c>
      <c r="E63" t="s">
        <v>80</v>
      </c>
      <c r="F63">
        <v>0</v>
      </c>
      <c r="G63">
        <v>0</v>
      </c>
      <c r="H63">
        <v>102394</v>
      </c>
      <c r="I63" s="1" t="s">
        <v>107</v>
      </c>
      <c r="J63" s="1" t="s">
        <v>189</v>
      </c>
      <c r="K63" s="1" t="s">
        <v>406</v>
      </c>
      <c r="L63" s="1" t="s">
        <v>80</v>
      </c>
      <c r="M63" s="1">
        <v>102392</v>
      </c>
      <c r="N63" s="1">
        <v>17172</v>
      </c>
      <c r="O63" s="1">
        <v>102394</v>
      </c>
    </row>
    <row r="64" spans="2:15" x14ac:dyDescent="0.25">
      <c r="B64" t="s">
        <v>107</v>
      </c>
      <c r="C64" t="s">
        <v>109</v>
      </c>
      <c r="D64" t="s">
        <v>312</v>
      </c>
      <c r="E64" t="s">
        <v>80</v>
      </c>
      <c r="F64">
        <v>0</v>
      </c>
      <c r="G64">
        <v>0</v>
      </c>
      <c r="H64">
        <v>102394</v>
      </c>
      <c r="I64" s="1" t="s">
        <v>107</v>
      </c>
      <c r="J64" s="1" t="s">
        <v>190</v>
      </c>
      <c r="K64" s="1" t="s">
        <v>407</v>
      </c>
      <c r="L64" s="1" t="s">
        <v>80</v>
      </c>
      <c r="M64" s="1">
        <v>102392</v>
      </c>
      <c r="N64" s="1">
        <v>17176</v>
      </c>
      <c r="O64" s="1">
        <v>102394</v>
      </c>
    </row>
    <row r="65" spans="2:17" x14ac:dyDescent="0.25">
      <c r="B65" t="s">
        <v>107</v>
      </c>
      <c r="C65" t="s">
        <v>109</v>
      </c>
      <c r="D65" t="s">
        <v>313</v>
      </c>
      <c r="E65" t="s">
        <v>80</v>
      </c>
      <c r="F65">
        <v>0</v>
      </c>
      <c r="G65">
        <v>0</v>
      </c>
      <c r="H65">
        <v>102394</v>
      </c>
      <c r="I65" s="1" t="s">
        <v>107</v>
      </c>
      <c r="J65" s="1" t="s">
        <v>191</v>
      </c>
      <c r="K65" s="1" t="s">
        <v>408</v>
      </c>
      <c r="L65" s="1" t="s">
        <v>80</v>
      </c>
      <c r="M65" s="1">
        <v>102392</v>
      </c>
      <c r="N65" s="1">
        <v>17176</v>
      </c>
      <c r="O65" s="1">
        <v>102394</v>
      </c>
    </row>
    <row r="66" spans="2:17" x14ac:dyDescent="0.25">
      <c r="B66" t="s">
        <v>107</v>
      </c>
      <c r="C66" t="s">
        <v>109</v>
      </c>
      <c r="D66" t="s">
        <v>314</v>
      </c>
      <c r="E66" t="s">
        <v>80</v>
      </c>
      <c r="F66">
        <v>0</v>
      </c>
      <c r="G66">
        <v>0</v>
      </c>
      <c r="H66">
        <v>102394</v>
      </c>
      <c r="I66" s="1" t="s">
        <v>107</v>
      </c>
      <c r="J66" s="1" t="s">
        <v>192</v>
      </c>
      <c r="K66" s="1" t="s">
        <v>409</v>
      </c>
      <c r="L66" s="1" t="s">
        <v>80</v>
      </c>
      <c r="M66" s="1">
        <v>102392</v>
      </c>
      <c r="N66" s="1">
        <v>17176</v>
      </c>
      <c r="O66" s="1">
        <v>102394</v>
      </c>
    </row>
    <row r="67" spans="2:17" x14ac:dyDescent="0.25">
      <c r="B67" t="s">
        <v>107</v>
      </c>
      <c r="C67" t="s">
        <v>109</v>
      </c>
      <c r="D67" t="s">
        <v>315</v>
      </c>
      <c r="E67" t="s">
        <v>80</v>
      </c>
      <c r="F67">
        <v>0</v>
      </c>
      <c r="G67">
        <v>0</v>
      </c>
      <c r="H67">
        <v>102394</v>
      </c>
      <c r="I67" s="1" t="s">
        <v>107</v>
      </c>
      <c r="J67" s="1" t="s">
        <v>193</v>
      </c>
      <c r="K67" s="1" t="s">
        <v>410</v>
      </c>
      <c r="L67" s="1" t="s">
        <v>80</v>
      </c>
      <c r="M67" s="1">
        <v>102392</v>
      </c>
      <c r="N67" s="1">
        <v>17180</v>
      </c>
      <c r="O67" s="1">
        <v>102394</v>
      </c>
    </row>
    <row r="68" spans="2:17" x14ac:dyDescent="0.25">
      <c r="B68" t="s">
        <v>107</v>
      </c>
      <c r="C68" t="s">
        <v>109</v>
      </c>
      <c r="D68" t="s">
        <v>316</v>
      </c>
      <c r="E68" t="s">
        <v>80</v>
      </c>
      <c r="F68">
        <v>0</v>
      </c>
      <c r="G68">
        <v>0</v>
      </c>
      <c r="H68">
        <v>102394</v>
      </c>
      <c r="I68" s="1" t="s">
        <v>107</v>
      </c>
      <c r="J68" s="1" t="s">
        <v>194</v>
      </c>
      <c r="K68" s="1" t="s">
        <v>411</v>
      </c>
      <c r="L68" s="1" t="s">
        <v>80</v>
      </c>
      <c r="M68" s="1">
        <v>102392</v>
      </c>
      <c r="N68" s="1">
        <v>17180</v>
      </c>
      <c r="O68" s="1">
        <v>102394</v>
      </c>
    </row>
    <row r="69" spans="2:17" x14ac:dyDescent="0.25">
      <c r="B69" t="s">
        <v>107</v>
      </c>
      <c r="C69" t="s">
        <v>109</v>
      </c>
      <c r="D69" t="s">
        <v>317</v>
      </c>
      <c r="E69" t="s">
        <v>80</v>
      </c>
      <c r="F69">
        <v>0</v>
      </c>
      <c r="G69">
        <v>0</v>
      </c>
      <c r="H69">
        <v>102394</v>
      </c>
      <c r="I69" s="1" t="s">
        <v>107</v>
      </c>
      <c r="J69" s="1" t="s">
        <v>195</v>
      </c>
      <c r="K69" s="1" t="s">
        <v>412</v>
      </c>
      <c r="L69" s="1" t="s">
        <v>80</v>
      </c>
      <c r="M69" s="1">
        <v>102392</v>
      </c>
      <c r="N69" s="1">
        <v>17180</v>
      </c>
      <c r="O69" s="1">
        <v>102394</v>
      </c>
    </row>
    <row r="70" spans="2:17" x14ac:dyDescent="0.25">
      <c r="B70" t="s">
        <v>107</v>
      </c>
      <c r="C70" t="s">
        <v>109</v>
      </c>
      <c r="D70" t="s">
        <v>320</v>
      </c>
      <c r="E70" t="s">
        <v>80</v>
      </c>
      <c r="F70">
        <v>0</v>
      </c>
      <c r="G70">
        <v>0</v>
      </c>
      <c r="H70">
        <v>102394</v>
      </c>
      <c r="I70" s="1" t="s">
        <v>107</v>
      </c>
      <c r="J70" s="1" t="s">
        <v>198</v>
      </c>
      <c r="K70" s="1" t="s">
        <v>415</v>
      </c>
      <c r="L70" s="1" t="s">
        <v>80</v>
      </c>
      <c r="M70" s="1">
        <v>102392</v>
      </c>
      <c r="N70" s="1">
        <v>17176</v>
      </c>
      <c r="O70" s="1">
        <v>102394</v>
      </c>
    </row>
    <row r="71" spans="2:17" x14ac:dyDescent="0.25">
      <c r="B71" t="s">
        <v>107</v>
      </c>
      <c r="C71" t="s">
        <v>109</v>
      </c>
      <c r="D71" t="s">
        <v>321</v>
      </c>
      <c r="E71" t="s">
        <v>80</v>
      </c>
      <c r="F71">
        <v>0</v>
      </c>
      <c r="G71">
        <v>0</v>
      </c>
      <c r="H71">
        <v>102394</v>
      </c>
      <c r="I71" s="1" t="s">
        <v>107</v>
      </c>
      <c r="J71" s="1" t="s">
        <v>199</v>
      </c>
      <c r="K71" s="1" t="s">
        <v>416</v>
      </c>
      <c r="L71" s="1" t="s">
        <v>80</v>
      </c>
      <c r="M71" s="1">
        <v>102392</v>
      </c>
      <c r="N71" s="1">
        <v>17180</v>
      </c>
      <c r="O71" s="1">
        <v>102394</v>
      </c>
    </row>
    <row r="72" spans="2:17" x14ac:dyDescent="0.25">
      <c r="B72" t="s">
        <v>107</v>
      </c>
      <c r="C72" t="s">
        <v>109</v>
      </c>
      <c r="D72" t="s">
        <v>322</v>
      </c>
      <c r="E72" t="s">
        <v>80</v>
      </c>
      <c r="F72">
        <v>0</v>
      </c>
      <c r="G72">
        <v>0</v>
      </c>
      <c r="H72">
        <v>102394</v>
      </c>
      <c r="I72" s="1" t="s">
        <v>107</v>
      </c>
      <c r="J72" s="1" t="s">
        <v>196</v>
      </c>
      <c r="K72" s="1" t="s">
        <v>413</v>
      </c>
      <c r="L72" s="1" t="s">
        <v>80</v>
      </c>
      <c r="M72" s="1">
        <v>102392</v>
      </c>
      <c r="N72" s="1">
        <v>17176</v>
      </c>
      <c r="O72" s="1">
        <v>102394</v>
      </c>
    </row>
    <row r="73" spans="2:17" x14ac:dyDescent="0.25">
      <c r="B73" t="s">
        <v>107</v>
      </c>
      <c r="C73" t="s">
        <v>109</v>
      </c>
      <c r="D73" t="s">
        <v>323</v>
      </c>
      <c r="E73" t="s">
        <v>80</v>
      </c>
      <c r="F73">
        <v>0</v>
      </c>
      <c r="G73">
        <v>0</v>
      </c>
      <c r="H73">
        <v>102394</v>
      </c>
      <c r="I73" s="1" t="s">
        <v>107</v>
      </c>
      <c r="J73" s="1" t="s">
        <v>197</v>
      </c>
      <c r="K73" s="1" t="s">
        <v>414</v>
      </c>
      <c r="L73" s="1" t="s">
        <v>80</v>
      </c>
      <c r="M73" s="1">
        <v>102392</v>
      </c>
      <c r="N73" s="1">
        <v>17180</v>
      </c>
      <c r="O73" s="1">
        <v>102394</v>
      </c>
      <c r="Q73">
        <f>SUM(M5:M73)</f>
        <v>7065048</v>
      </c>
    </row>
    <row r="74" spans="2:17" x14ac:dyDescent="0.25">
      <c r="B74" t="s">
        <v>107</v>
      </c>
      <c r="C74" t="s">
        <v>110</v>
      </c>
      <c r="D74" t="s">
        <v>327</v>
      </c>
      <c r="E74" t="s">
        <v>80</v>
      </c>
      <c r="F74">
        <v>4088</v>
      </c>
      <c r="G74">
        <v>2496</v>
      </c>
      <c r="H74">
        <v>4090</v>
      </c>
      <c r="M74">
        <v>4088</v>
      </c>
    </row>
    <row r="75" spans="2:17" x14ac:dyDescent="0.25">
      <c r="B75" t="s">
        <v>107</v>
      </c>
      <c r="C75" t="s">
        <v>111</v>
      </c>
      <c r="D75" t="s">
        <v>328</v>
      </c>
      <c r="E75" t="s">
        <v>80</v>
      </c>
      <c r="F75">
        <v>4088</v>
      </c>
      <c r="G75">
        <v>2496</v>
      </c>
      <c r="H75">
        <v>4090</v>
      </c>
      <c r="M75">
        <v>4088</v>
      </c>
    </row>
    <row r="76" spans="2:17" x14ac:dyDescent="0.25">
      <c r="B76" t="s">
        <v>107</v>
      </c>
      <c r="C76" t="s">
        <v>112</v>
      </c>
      <c r="D76" t="s">
        <v>329</v>
      </c>
      <c r="E76" t="s">
        <v>80</v>
      </c>
      <c r="F76">
        <v>4088</v>
      </c>
      <c r="G76">
        <v>2496</v>
      </c>
      <c r="H76">
        <v>4090</v>
      </c>
      <c r="M76">
        <v>4088</v>
      </c>
    </row>
    <row r="77" spans="2:17" x14ac:dyDescent="0.25">
      <c r="B77" t="s">
        <v>107</v>
      </c>
      <c r="C77" t="s">
        <v>113</v>
      </c>
      <c r="D77" t="s">
        <v>330</v>
      </c>
      <c r="E77" t="s">
        <v>80</v>
      </c>
      <c r="F77">
        <v>4088</v>
      </c>
      <c r="G77">
        <v>2500</v>
      </c>
      <c r="H77">
        <v>4090</v>
      </c>
      <c r="M77">
        <v>4088</v>
      </c>
    </row>
    <row r="78" spans="2:17" x14ac:dyDescent="0.25">
      <c r="B78" t="s">
        <v>107</v>
      </c>
      <c r="C78" t="s">
        <v>114</v>
      </c>
      <c r="D78" t="s">
        <v>331</v>
      </c>
      <c r="E78" t="s">
        <v>80</v>
      </c>
      <c r="F78">
        <v>4088</v>
      </c>
      <c r="G78">
        <v>2492</v>
      </c>
      <c r="H78">
        <v>4090</v>
      </c>
      <c r="M78">
        <v>4088</v>
      </c>
    </row>
    <row r="79" spans="2:17" x14ac:dyDescent="0.25">
      <c r="B79" t="s">
        <v>107</v>
      </c>
      <c r="C79" t="s">
        <v>115</v>
      </c>
      <c r="D79" t="s">
        <v>332</v>
      </c>
      <c r="E79" t="s">
        <v>80</v>
      </c>
      <c r="F79">
        <v>4088</v>
      </c>
      <c r="G79">
        <v>2496</v>
      </c>
      <c r="H79">
        <v>4090</v>
      </c>
      <c r="M79">
        <v>4088</v>
      </c>
    </row>
    <row r="80" spans="2:17" x14ac:dyDescent="0.25">
      <c r="B80" t="s">
        <v>107</v>
      </c>
      <c r="C80" t="s">
        <v>116</v>
      </c>
      <c r="D80" t="s">
        <v>333</v>
      </c>
      <c r="E80" t="s">
        <v>80</v>
      </c>
      <c r="F80">
        <v>4088</v>
      </c>
      <c r="G80">
        <v>2496</v>
      </c>
      <c r="H80">
        <v>4090</v>
      </c>
      <c r="M80">
        <v>4088</v>
      </c>
    </row>
    <row r="81" spans="2:17" x14ac:dyDescent="0.25">
      <c r="B81" t="s">
        <v>107</v>
      </c>
      <c r="C81" t="s">
        <v>117</v>
      </c>
      <c r="D81" t="s">
        <v>334</v>
      </c>
      <c r="E81" t="s">
        <v>80</v>
      </c>
      <c r="F81">
        <v>4088</v>
      </c>
      <c r="G81">
        <v>2496</v>
      </c>
      <c r="H81">
        <v>4090</v>
      </c>
      <c r="M81">
        <v>4088</v>
      </c>
      <c r="Q81">
        <f>F74+F75+F76+F77+F78+M94+M95+M96+M97+M98</f>
        <v>40880</v>
      </c>
    </row>
    <row r="82" spans="2:17" x14ac:dyDescent="0.25">
      <c r="B82" t="s">
        <v>107</v>
      </c>
      <c r="C82" t="s">
        <v>118</v>
      </c>
      <c r="D82" t="s">
        <v>335</v>
      </c>
      <c r="E82" t="s">
        <v>80</v>
      </c>
      <c r="F82">
        <v>4088</v>
      </c>
      <c r="G82">
        <v>2500</v>
      </c>
      <c r="H82">
        <v>4090</v>
      </c>
      <c r="M82">
        <v>4088</v>
      </c>
    </row>
    <row r="83" spans="2:17" x14ac:dyDescent="0.25">
      <c r="B83" t="s">
        <v>107</v>
      </c>
      <c r="C83" t="s">
        <v>119</v>
      </c>
      <c r="D83" t="s">
        <v>336</v>
      </c>
      <c r="E83" t="s">
        <v>80</v>
      </c>
      <c r="F83">
        <v>4088</v>
      </c>
      <c r="G83">
        <v>2496</v>
      </c>
      <c r="H83">
        <v>4090</v>
      </c>
      <c r="M83">
        <v>4088</v>
      </c>
    </row>
    <row r="84" spans="2:17" x14ac:dyDescent="0.25">
      <c r="B84" t="s">
        <v>107</v>
      </c>
      <c r="C84" t="s">
        <v>120</v>
      </c>
      <c r="D84" t="s">
        <v>337</v>
      </c>
      <c r="E84" t="s">
        <v>80</v>
      </c>
      <c r="F84">
        <v>4088</v>
      </c>
      <c r="G84">
        <v>2496</v>
      </c>
      <c r="H84">
        <v>4090</v>
      </c>
      <c r="M84">
        <v>4088</v>
      </c>
    </row>
    <row r="85" spans="2:17" x14ac:dyDescent="0.25">
      <c r="B85" t="s">
        <v>107</v>
      </c>
      <c r="C85" t="s">
        <v>121</v>
      </c>
      <c r="D85" t="s">
        <v>338</v>
      </c>
      <c r="E85" t="s">
        <v>80</v>
      </c>
      <c r="F85">
        <v>4088</v>
      </c>
      <c r="G85">
        <v>2496</v>
      </c>
      <c r="H85">
        <v>4090</v>
      </c>
      <c r="M85">
        <v>4088</v>
      </c>
    </row>
    <row r="86" spans="2:17" x14ac:dyDescent="0.25">
      <c r="B86" t="s">
        <v>107</v>
      </c>
      <c r="C86" t="s">
        <v>122</v>
      </c>
      <c r="D86" t="s">
        <v>339</v>
      </c>
      <c r="E86" t="s">
        <v>80</v>
      </c>
      <c r="F86">
        <v>4088</v>
      </c>
      <c r="G86">
        <v>2496</v>
      </c>
      <c r="H86">
        <v>4090</v>
      </c>
      <c r="M86">
        <v>4088</v>
      </c>
    </row>
    <row r="87" spans="2:17" x14ac:dyDescent="0.25">
      <c r="B87" t="s">
        <v>107</v>
      </c>
      <c r="C87" t="s">
        <v>123</v>
      </c>
      <c r="D87" t="s">
        <v>340</v>
      </c>
      <c r="E87" t="s">
        <v>80</v>
      </c>
      <c r="F87">
        <v>4088</v>
      </c>
      <c r="G87">
        <v>2500</v>
      </c>
      <c r="H87">
        <v>4090</v>
      </c>
      <c r="M87">
        <v>4088</v>
      </c>
    </row>
    <row r="88" spans="2:17" x14ac:dyDescent="0.25">
      <c r="B88" t="s">
        <v>107</v>
      </c>
      <c r="C88" t="s">
        <v>124</v>
      </c>
      <c r="D88" t="s">
        <v>341</v>
      </c>
      <c r="E88" t="s">
        <v>80</v>
      </c>
      <c r="F88">
        <v>4088</v>
      </c>
      <c r="G88">
        <v>2492</v>
      </c>
      <c r="H88">
        <v>4090</v>
      </c>
      <c r="M88">
        <v>4088</v>
      </c>
    </row>
    <row r="89" spans="2:17" x14ac:dyDescent="0.25">
      <c r="B89" t="s">
        <v>107</v>
      </c>
      <c r="C89" t="s">
        <v>125</v>
      </c>
      <c r="D89" t="s">
        <v>342</v>
      </c>
      <c r="E89" t="s">
        <v>80</v>
      </c>
      <c r="F89">
        <v>4088</v>
      </c>
      <c r="G89">
        <v>2536</v>
      </c>
      <c r="H89">
        <v>4090</v>
      </c>
      <c r="M89">
        <v>4088</v>
      </c>
    </row>
    <row r="90" spans="2:17" x14ac:dyDescent="0.25">
      <c r="B90" t="s">
        <v>107</v>
      </c>
      <c r="C90" t="s">
        <v>126</v>
      </c>
      <c r="D90" t="s">
        <v>343</v>
      </c>
      <c r="E90" t="s">
        <v>80</v>
      </c>
      <c r="F90">
        <v>4088</v>
      </c>
      <c r="G90">
        <v>2540</v>
      </c>
      <c r="H90">
        <v>4090</v>
      </c>
      <c r="M90">
        <v>4088</v>
      </c>
    </row>
    <row r="91" spans="2:17" x14ac:dyDescent="0.25">
      <c r="B91" t="s">
        <v>107</v>
      </c>
      <c r="C91" t="s">
        <v>127</v>
      </c>
      <c r="D91" t="s">
        <v>344</v>
      </c>
      <c r="E91" t="s">
        <v>80</v>
      </c>
      <c r="F91">
        <v>4088</v>
      </c>
      <c r="G91">
        <v>2536</v>
      </c>
      <c r="H91">
        <v>4090</v>
      </c>
      <c r="M91">
        <v>4088</v>
      </c>
    </row>
    <row r="92" spans="2:17" x14ac:dyDescent="0.25">
      <c r="B92" t="s">
        <v>107</v>
      </c>
      <c r="C92" t="s">
        <v>128</v>
      </c>
      <c r="D92" t="s">
        <v>345</v>
      </c>
      <c r="E92" t="s">
        <v>80</v>
      </c>
      <c r="F92">
        <v>4088</v>
      </c>
      <c r="G92">
        <v>2540</v>
      </c>
      <c r="H92">
        <v>4090</v>
      </c>
      <c r="M92">
        <v>4088</v>
      </c>
    </row>
    <row r="93" spans="2:17" x14ac:dyDescent="0.25">
      <c r="B93" t="s">
        <v>107</v>
      </c>
      <c r="C93" t="s">
        <v>129</v>
      </c>
      <c r="D93" t="s">
        <v>346</v>
      </c>
      <c r="E93" t="s">
        <v>80</v>
      </c>
      <c r="F93">
        <v>4088</v>
      </c>
      <c r="G93">
        <v>2536</v>
      </c>
      <c r="H93">
        <v>4090</v>
      </c>
      <c r="M93">
        <v>4088</v>
      </c>
    </row>
    <row r="94" spans="2:17" x14ac:dyDescent="0.25">
      <c r="B94" t="s">
        <v>107</v>
      </c>
      <c r="C94" t="s">
        <v>109</v>
      </c>
      <c r="D94" t="s">
        <v>247</v>
      </c>
      <c r="E94" t="s">
        <v>80</v>
      </c>
      <c r="F94">
        <v>0</v>
      </c>
      <c r="G94">
        <v>0</v>
      </c>
      <c r="H94">
        <v>4090</v>
      </c>
      <c r="I94" s="1" t="s">
        <v>107</v>
      </c>
      <c r="J94" s="1" t="s">
        <v>211</v>
      </c>
      <c r="K94" s="1" t="s">
        <v>428</v>
      </c>
      <c r="L94" s="1" t="s">
        <v>80</v>
      </c>
      <c r="M94" s="1">
        <v>4088</v>
      </c>
      <c r="N94" s="1">
        <v>2480</v>
      </c>
      <c r="O94" s="1">
        <v>4090</v>
      </c>
    </row>
    <row r="95" spans="2:17" x14ac:dyDescent="0.25">
      <c r="B95" t="s">
        <v>107</v>
      </c>
      <c r="C95" t="s">
        <v>109</v>
      </c>
      <c r="D95" t="s">
        <v>248</v>
      </c>
      <c r="E95" t="s">
        <v>80</v>
      </c>
      <c r="F95">
        <v>0</v>
      </c>
      <c r="G95">
        <v>0</v>
      </c>
      <c r="H95">
        <v>4090</v>
      </c>
      <c r="I95" s="1" t="s">
        <v>107</v>
      </c>
      <c r="J95" s="1" t="s">
        <v>212</v>
      </c>
      <c r="K95" s="1" t="s">
        <v>429</v>
      </c>
      <c r="L95" s="1" t="s">
        <v>80</v>
      </c>
      <c r="M95" s="1">
        <v>4088</v>
      </c>
      <c r="N95" s="1">
        <v>2476</v>
      </c>
      <c r="O95" s="1">
        <v>4090</v>
      </c>
    </row>
    <row r="96" spans="2:17" x14ac:dyDescent="0.25">
      <c r="B96" t="s">
        <v>107</v>
      </c>
      <c r="C96" t="s">
        <v>109</v>
      </c>
      <c r="D96" t="s">
        <v>249</v>
      </c>
      <c r="E96" t="s">
        <v>80</v>
      </c>
      <c r="F96">
        <v>0</v>
      </c>
      <c r="G96">
        <v>0</v>
      </c>
      <c r="H96">
        <v>4090</v>
      </c>
      <c r="I96" s="1" t="s">
        <v>107</v>
      </c>
      <c r="J96" s="1" t="s">
        <v>213</v>
      </c>
      <c r="K96" s="1" t="s">
        <v>430</v>
      </c>
      <c r="L96" s="1" t="s">
        <v>80</v>
      </c>
      <c r="M96" s="1">
        <v>4088</v>
      </c>
      <c r="N96" s="1">
        <v>2480</v>
      </c>
      <c r="O96" s="1">
        <v>4090</v>
      </c>
    </row>
    <row r="97" spans="2:15" x14ac:dyDescent="0.25">
      <c r="B97" t="s">
        <v>107</v>
      </c>
      <c r="C97" t="s">
        <v>109</v>
      </c>
      <c r="D97" t="s">
        <v>250</v>
      </c>
      <c r="E97" t="s">
        <v>80</v>
      </c>
      <c r="F97">
        <v>0</v>
      </c>
      <c r="G97">
        <v>0</v>
      </c>
      <c r="H97">
        <v>4090</v>
      </c>
      <c r="I97" s="1" t="s">
        <v>107</v>
      </c>
      <c r="J97" s="1" t="s">
        <v>214</v>
      </c>
      <c r="K97" s="1" t="s">
        <v>431</v>
      </c>
      <c r="L97" s="1" t="s">
        <v>80</v>
      </c>
      <c r="M97" s="1">
        <v>4088</v>
      </c>
      <c r="N97" s="1">
        <v>2484</v>
      </c>
      <c r="O97" s="1">
        <v>4090</v>
      </c>
    </row>
    <row r="98" spans="2:15" x14ac:dyDescent="0.25">
      <c r="B98" t="s">
        <v>107</v>
      </c>
      <c r="C98" t="s">
        <v>109</v>
      </c>
      <c r="D98" t="s">
        <v>251</v>
      </c>
      <c r="E98" t="s">
        <v>80</v>
      </c>
      <c r="F98">
        <v>0</v>
      </c>
      <c r="G98">
        <v>0</v>
      </c>
      <c r="H98">
        <v>4090</v>
      </c>
      <c r="I98" s="1" t="s">
        <v>107</v>
      </c>
      <c r="J98" s="1" t="s">
        <v>215</v>
      </c>
      <c r="K98" s="1" t="s">
        <v>432</v>
      </c>
      <c r="L98" s="1" t="s">
        <v>80</v>
      </c>
      <c r="M98" s="1">
        <v>4088</v>
      </c>
      <c r="N98" s="1">
        <v>2476</v>
      </c>
      <c r="O98" s="1">
        <v>4090</v>
      </c>
    </row>
    <row r="99" spans="2:15" x14ac:dyDescent="0.25">
      <c r="B99" t="s">
        <v>107</v>
      </c>
      <c r="C99" t="s">
        <v>109</v>
      </c>
      <c r="D99" t="s">
        <v>252</v>
      </c>
      <c r="E99" t="s">
        <v>80</v>
      </c>
      <c r="F99">
        <v>0</v>
      </c>
      <c r="G99">
        <v>0</v>
      </c>
      <c r="H99">
        <v>4090</v>
      </c>
      <c r="I99" s="1" t="s">
        <v>107</v>
      </c>
      <c r="J99" s="1" t="s">
        <v>216</v>
      </c>
      <c r="K99" s="1" t="s">
        <v>433</v>
      </c>
      <c r="L99" s="1" t="s">
        <v>80</v>
      </c>
      <c r="M99" s="1">
        <v>4088</v>
      </c>
      <c r="N99" s="1">
        <v>2476</v>
      </c>
      <c r="O99" s="1">
        <v>4090</v>
      </c>
    </row>
    <row r="100" spans="2:15" x14ac:dyDescent="0.25">
      <c r="B100" t="s">
        <v>107</v>
      </c>
      <c r="C100" t="s">
        <v>109</v>
      </c>
      <c r="D100" t="s">
        <v>253</v>
      </c>
      <c r="E100" t="s">
        <v>80</v>
      </c>
      <c r="F100">
        <v>0</v>
      </c>
      <c r="G100">
        <v>0</v>
      </c>
      <c r="H100">
        <v>4090</v>
      </c>
      <c r="I100" s="1" t="s">
        <v>107</v>
      </c>
      <c r="J100" s="1" t="s">
        <v>217</v>
      </c>
      <c r="K100" s="1" t="s">
        <v>434</v>
      </c>
      <c r="L100" s="1" t="s">
        <v>80</v>
      </c>
      <c r="M100" s="1">
        <v>4088</v>
      </c>
      <c r="N100" s="1">
        <v>2476</v>
      </c>
      <c r="O100" s="1">
        <v>4090</v>
      </c>
    </row>
    <row r="101" spans="2:15" x14ac:dyDescent="0.25">
      <c r="B101" t="s">
        <v>107</v>
      </c>
      <c r="C101" t="s">
        <v>109</v>
      </c>
      <c r="D101" t="s">
        <v>254</v>
      </c>
      <c r="E101" t="s">
        <v>80</v>
      </c>
      <c r="F101">
        <v>0</v>
      </c>
      <c r="G101">
        <v>0</v>
      </c>
      <c r="H101">
        <v>4090</v>
      </c>
      <c r="I101" s="1" t="s">
        <v>107</v>
      </c>
      <c r="J101" s="1" t="s">
        <v>218</v>
      </c>
      <c r="K101" s="1" t="s">
        <v>435</v>
      </c>
      <c r="L101" s="1" t="s">
        <v>80</v>
      </c>
      <c r="M101" s="1">
        <v>4088</v>
      </c>
      <c r="N101" s="1">
        <v>2480</v>
      </c>
      <c r="O101" s="1">
        <v>4090</v>
      </c>
    </row>
    <row r="102" spans="2:15" x14ac:dyDescent="0.25">
      <c r="B102" t="s">
        <v>107</v>
      </c>
      <c r="C102" t="s">
        <v>109</v>
      </c>
      <c r="D102" t="s">
        <v>255</v>
      </c>
      <c r="E102" t="s">
        <v>80</v>
      </c>
      <c r="F102">
        <v>0</v>
      </c>
      <c r="G102">
        <v>0</v>
      </c>
      <c r="H102">
        <v>4090</v>
      </c>
      <c r="I102" s="1" t="s">
        <v>107</v>
      </c>
      <c r="J102" s="1" t="s">
        <v>219</v>
      </c>
      <c r="K102" s="1" t="s">
        <v>436</v>
      </c>
      <c r="L102" s="1" t="s">
        <v>80</v>
      </c>
      <c r="M102" s="1">
        <v>4088</v>
      </c>
      <c r="N102" s="1">
        <v>2484</v>
      </c>
      <c r="O102" s="1">
        <v>4090</v>
      </c>
    </row>
    <row r="103" spans="2:15" x14ac:dyDescent="0.25">
      <c r="B103" t="s">
        <v>107</v>
      </c>
      <c r="C103" t="s">
        <v>109</v>
      </c>
      <c r="D103" t="s">
        <v>256</v>
      </c>
      <c r="E103" t="s">
        <v>80</v>
      </c>
      <c r="F103">
        <v>0</v>
      </c>
      <c r="G103">
        <v>0</v>
      </c>
      <c r="H103">
        <v>4090</v>
      </c>
      <c r="I103" s="1" t="s">
        <v>107</v>
      </c>
      <c r="J103" s="1" t="s">
        <v>220</v>
      </c>
      <c r="K103" s="1" t="s">
        <v>437</v>
      </c>
      <c r="L103" s="1" t="s">
        <v>80</v>
      </c>
      <c r="M103" s="1">
        <v>4088</v>
      </c>
      <c r="N103" s="1">
        <v>2476</v>
      </c>
      <c r="O103" s="1">
        <v>4090</v>
      </c>
    </row>
    <row r="104" spans="2:15" x14ac:dyDescent="0.25">
      <c r="B104" t="s">
        <v>107</v>
      </c>
      <c r="C104" t="s">
        <v>109</v>
      </c>
      <c r="D104" t="s">
        <v>257</v>
      </c>
      <c r="E104" t="s">
        <v>80</v>
      </c>
      <c r="F104">
        <v>0</v>
      </c>
      <c r="G104">
        <v>0</v>
      </c>
      <c r="H104">
        <v>4090</v>
      </c>
      <c r="I104" s="1" t="s">
        <v>107</v>
      </c>
      <c r="J104" s="1" t="s">
        <v>221</v>
      </c>
      <c r="K104" s="1" t="s">
        <v>438</v>
      </c>
      <c r="L104" s="1" t="s">
        <v>80</v>
      </c>
      <c r="M104" s="1">
        <v>4088</v>
      </c>
      <c r="N104" s="1">
        <v>2484</v>
      </c>
      <c r="O104" s="1">
        <v>4090</v>
      </c>
    </row>
    <row r="105" spans="2:15" x14ac:dyDescent="0.25">
      <c r="B105" t="s">
        <v>107</v>
      </c>
      <c r="C105" t="s">
        <v>109</v>
      </c>
      <c r="D105" t="s">
        <v>258</v>
      </c>
      <c r="E105" t="s">
        <v>80</v>
      </c>
      <c r="F105">
        <v>0</v>
      </c>
      <c r="G105">
        <v>0</v>
      </c>
      <c r="H105">
        <v>4090</v>
      </c>
      <c r="I105" s="1" t="s">
        <v>107</v>
      </c>
      <c r="J105" s="1" t="s">
        <v>222</v>
      </c>
      <c r="K105" s="1" t="s">
        <v>439</v>
      </c>
      <c r="L105" s="1" t="s">
        <v>80</v>
      </c>
      <c r="M105" s="1">
        <v>4088</v>
      </c>
      <c r="N105" s="1">
        <v>2476</v>
      </c>
      <c r="O105" s="1">
        <v>4090</v>
      </c>
    </row>
    <row r="106" spans="2:15" x14ac:dyDescent="0.25">
      <c r="B106" t="s">
        <v>107</v>
      </c>
      <c r="C106" t="s">
        <v>109</v>
      </c>
      <c r="D106" t="s">
        <v>259</v>
      </c>
      <c r="E106" t="s">
        <v>80</v>
      </c>
      <c r="F106">
        <v>0</v>
      </c>
      <c r="G106">
        <v>0</v>
      </c>
      <c r="H106">
        <v>4090</v>
      </c>
      <c r="I106" s="1" t="s">
        <v>107</v>
      </c>
      <c r="J106" s="1" t="s">
        <v>223</v>
      </c>
      <c r="K106" s="1" t="s">
        <v>440</v>
      </c>
      <c r="L106" s="1" t="s">
        <v>80</v>
      </c>
      <c r="M106" s="1">
        <v>4088</v>
      </c>
      <c r="N106" s="1">
        <v>2480</v>
      </c>
      <c r="O106" s="1">
        <v>4090</v>
      </c>
    </row>
    <row r="107" spans="2:15" x14ac:dyDescent="0.25">
      <c r="B107" t="s">
        <v>107</v>
      </c>
      <c r="C107" t="s">
        <v>109</v>
      </c>
      <c r="D107" t="s">
        <v>260</v>
      </c>
      <c r="E107" t="s">
        <v>80</v>
      </c>
      <c r="F107">
        <v>0</v>
      </c>
      <c r="G107">
        <v>0</v>
      </c>
      <c r="H107">
        <v>4090</v>
      </c>
      <c r="I107" s="1" t="s">
        <v>107</v>
      </c>
      <c r="J107" s="1" t="s">
        <v>224</v>
      </c>
      <c r="K107" s="1" t="s">
        <v>441</v>
      </c>
      <c r="L107" s="1" t="s">
        <v>80</v>
      </c>
      <c r="M107" s="1">
        <v>4088</v>
      </c>
      <c r="N107" s="1">
        <v>2480</v>
      </c>
      <c r="O107" s="1">
        <v>4090</v>
      </c>
    </row>
    <row r="108" spans="2:15" x14ac:dyDescent="0.25">
      <c r="B108" t="s">
        <v>107</v>
      </c>
      <c r="C108" t="s">
        <v>109</v>
      </c>
      <c r="D108" t="s">
        <v>261</v>
      </c>
      <c r="E108" t="s">
        <v>80</v>
      </c>
      <c r="F108">
        <v>0</v>
      </c>
      <c r="G108">
        <v>0</v>
      </c>
      <c r="H108">
        <v>4090</v>
      </c>
      <c r="I108" s="1" t="s">
        <v>107</v>
      </c>
      <c r="J108" s="1" t="s">
        <v>225</v>
      </c>
      <c r="K108" s="1" t="s">
        <v>442</v>
      </c>
      <c r="L108" s="1" t="s">
        <v>80</v>
      </c>
      <c r="M108" s="1">
        <v>4088</v>
      </c>
      <c r="N108" s="1">
        <v>2476</v>
      </c>
      <c r="O108" s="1">
        <v>4090</v>
      </c>
    </row>
    <row r="109" spans="2:15" x14ac:dyDescent="0.25">
      <c r="B109" t="s">
        <v>107</v>
      </c>
      <c r="C109" t="s">
        <v>109</v>
      </c>
      <c r="D109" t="s">
        <v>269</v>
      </c>
      <c r="E109" t="s">
        <v>80</v>
      </c>
      <c r="F109">
        <v>0</v>
      </c>
      <c r="G109">
        <v>0</v>
      </c>
      <c r="H109">
        <v>4090</v>
      </c>
      <c r="I109" s="1" t="s">
        <v>107</v>
      </c>
      <c r="J109" s="1" t="s">
        <v>226</v>
      </c>
      <c r="K109" s="1" t="s">
        <v>443</v>
      </c>
      <c r="L109" s="1" t="s">
        <v>80</v>
      </c>
      <c r="M109" s="1">
        <v>4088</v>
      </c>
      <c r="N109" s="1">
        <v>2524</v>
      </c>
      <c r="O109" s="1">
        <v>4090</v>
      </c>
    </row>
    <row r="110" spans="2:15" x14ac:dyDescent="0.25">
      <c r="B110" t="s">
        <v>107</v>
      </c>
      <c r="C110" t="s">
        <v>109</v>
      </c>
      <c r="D110" t="s">
        <v>270</v>
      </c>
      <c r="E110" t="s">
        <v>80</v>
      </c>
      <c r="F110">
        <v>0</v>
      </c>
      <c r="G110">
        <v>0</v>
      </c>
      <c r="H110">
        <v>4090</v>
      </c>
      <c r="I110" s="1" t="s">
        <v>107</v>
      </c>
      <c r="J110" s="1" t="s">
        <v>227</v>
      </c>
      <c r="K110" s="1" t="s">
        <v>444</v>
      </c>
      <c r="L110" s="1" t="s">
        <v>80</v>
      </c>
      <c r="M110" s="1">
        <v>4088</v>
      </c>
      <c r="N110" s="1">
        <v>2520</v>
      </c>
      <c r="O110" s="1">
        <v>4090</v>
      </c>
    </row>
    <row r="111" spans="2:15" x14ac:dyDescent="0.25">
      <c r="B111" t="s">
        <v>107</v>
      </c>
      <c r="C111" t="s">
        <v>109</v>
      </c>
      <c r="D111" t="s">
        <v>271</v>
      </c>
      <c r="E111" t="s">
        <v>80</v>
      </c>
      <c r="F111">
        <v>0</v>
      </c>
      <c r="G111">
        <v>0</v>
      </c>
      <c r="H111">
        <v>4090</v>
      </c>
      <c r="I111" s="1" t="s">
        <v>107</v>
      </c>
      <c r="J111" s="1" t="s">
        <v>228</v>
      </c>
      <c r="K111" s="1" t="s">
        <v>445</v>
      </c>
      <c r="L111" s="1" t="s">
        <v>80</v>
      </c>
      <c r="M111" s="1">
        <v>4088</v>
      </c>
      <c r="N111" s="1">
        <v>2520</v>
      </c>
      <c r="O111" s="1">
        <v>4090</v>
      </c>
    </row>
    <row r="112" spans="2:15" x14ac:dyDescent="0.25">
      <c r="B112" t="s">
        <v>107</v>
      </c>
      <c r="C112" t="s">
        <v>109</v>
      </c>
      <c r="D112" t="s">
        <v>272</v>
      </c>
      <c r="E112" t="s">
        <v>80</v>
      </c>
      <c r="F112">
        <v>0</v>
      </c>
      <c r="G112">
        <v>0</v>
      </c>
      <c r="H112">
        <v>4090</v>
      </c>
      <c r="I112" s="1" t="s">
        <v>107</v>
      </c>
      <c r="J112" s="1" t="s">
        <v>229</v>
      </c>
      <c r="K112" s="1" t="s">
        <v>446</v>
      </c>
      <c r="L112" s="1" t="s">
        <v>80</v>
      </c>
      <c r="M112" s="1">
        <v>4088</v>
      </c>
      <c r="N112" s="1">
        <v>2524</v>
      </c>
      <c r="O112" s="1">
        <v>4090</v>
      </c>
    </row>
    <row r="113" spans="2:17" x14ac:dyDescent="0.25">
      <c r="B113" t="s">
        <v>107</v>
      </c>
      <c r="C113" t="s">
        <v>109</v>
      </c>
      <c r="D113" t="s">
        <v>273</v>
      </c>
      <c r="E113" t="s">
        <v>80</v>
      </c>
      <c r="F113">
        <v>0</v>
      </c>
      <c r="G113">
        <v>0</v>
      </c>
      <c r="H113">
        <v>4090</v>
      </c>
      <c r="I113" s="1" t="s">
        <v>107</v>
      </c>
      <c r="J113" s="1" t="s">
        <v>230</v>
      </c>
      <c r="K113" s="1" t="s">
        <v>447</v>
      </c>
      <c r="L113" s="1" t="s">
        <v>80</v>
      </c>
      <c r="M113" s="1">
        <v>4088</v>
      </c>
      <c r="N113" s="1">
        <v>2520</v>
      </c>
      <c r="O113" s="1">
        <v>4090</v>
      </c>
      <c r="Q113">
        <f>SUM(M74:M113)</f>
        <v>163520</v>
      </c>
    </row>
    <row r="114" spans="2:17" x14ac:dyDescent="0.25">
      <c r="B114" t="s">
        <v>107</v>
      </c>
      <c r="C114" t="s">
        <v>109</v>
      </c>
      <c r="D114" t="s">
        <v>241</v>
      </c>
      <c r="E114" t="s">
        <v>80</v>
      </c>
      <c r="F114">
        <v>0</v>
      </c>
      <c r="G114">
        <v>0</v>
      </c>
      <c r="H114">
        <v>2042</v>
      </c>
      <c r="I114" s="2" t="s">
        <v>107</v>
      </c>
      <c r="J114" s="2" t="s">
        <v>200</v>
      </c>
      <c r="K114" s="2" t="s">
        <v>417</v>
      </c>
      <c r="L114" s="2" t="s">
        <v>80</v>
      </c>
      <c r="M114" s="2">
        <v>2040</v>
      </c>
      <c r="N114" s="2">
        <v>1444</v>
      </c>
      <c r="O114" s="2">
        <v>2042</v>
      </c>
    </row>
    <row r="115" spans="2:17" x14ac:dyDescent="0.25">
      <c r="B115" t="s">
        <v>107</v>
      </c>
      <c r="C115" t="s">
        <v>109</v>
      </c>
      <c r="D115" t="s">
        <v>242</v>
      </c>
      <c r="E115" t="s">
        <v>80</v>
      </c>
      <c r="F115">
        <v>0</v>
      </c>
      <c r="G115">
        <v>0</v>
      </c>
      <c r="H115">
        <v>2042</v>
      </c>
      <c r="I115" s="2" t="s">
        <v>107</v>
      </c>
      <c r="J115" s="2" t="s">
        <v>203</v>
      </c>
      <c r="K115" s="2" t="s">
        <v>420</v>
      </c>
      <c r="L115" s="2" t="s">
        <v>80</v>
      </c>
      <c r="M115" s="2">
        <v>2040</v>
      </c>
      <c r="N115" s="2">
        <v>1444</v>
      </c>
      <c r="O115" s="2">
        <v>2042</v>
      </c>
    </row>
    <row r="116" spans="2:17" x14ac:dyDescent="0.25">
      <c r="B116" t="s">
        <v>107</v>
      </c>
      <c r="C116" t="s">
        <v>109</v>
      </c>
      <c r="D116" t="s">
        <v>243</v>
      </c>
      <c r="E116" t="s">
        <v>80</v>
      </c>
      <c r="F116">
        <v>0</v>
      </c>
      <c r="G116">
        <v>0</v>
      </c>
      <c r="H116">
        <v>2042</v>
      </c>
      <c r="I116" s="2" t="s">
        <v>107</v>
      </c>
      <c r="J116" s="2" t="s">
        <v>204</v>
      </c>
      <c r="K116" s="2" t="s">
        <v>421</v>
      </c>
      <c r="L116" s="2" t="s">
        <v>80</v>
      </c>
      <c r="M116" s="2">
        <v>2040</v>
      </c>
      <c r="N116" s="2">
        <v>1444</v>
      </c>
      <c r="O116" s="2">
        <v>2042</v>
      </c>
    </row>
    <row r="117" spans="2:17" x14ac:dyDescent="0.25">
      <c r="B117" t="s">
        <v>107</v>
      </c>
      <c r="C117" t="s">
        <v>109</v>
      </c>
      <c r="D117" t="s">
        <v>244</v>
      </c>
      <c r="E117" t="s">
        <v>80</v>
      </c>
      <c r="F117">
        <v>0</v>
      </c>
      <c r="G117">
        <v>0</v>
      </c>
      <c r="H117">
        <v>2042</v>
      </c>
      <c r="I117" s="2" t="s">
        <v>107</v>
      </c>
      <c r="J117" s="2" t="s">
        <v>205</v>
      </c>
      <c r="K117" s="2" t="s">
        <v>422</v>
      </c>
      <c r="L117" s="2" t="s">
        <v>80</v>
      </c>
      <c r="M117" s="2">
        <v>2040</v>
      </c>
      <c r="N117" s="2">
        <v>1444</v>
      </c>
      <c r="O117" s="2">
        <v>2042</v>
      </c>
    </row>
    <row r="118" spans="2:17" x14ac:dyDescent="0.25">
      <c r="B118" t="s">
        <v>107</v>
      </c>
      <c r="C118" t="s">
        <v>109</v>
      </c>
      <c r="D118" t="s">
        <v>245</v>
      </c>
      <c r="E118" t="s">
        <v>80</v>
      </c>
      <c r="F118">
        <v>0</v>
      </c>
      <c r="G118">
        <v>0</v>
      </c>
      <c r="H118">
        <v>2042</v>
      </c>
      <c r="I118" s="2" t="s">
        <v>107</v>
      </c>
      <c r="J118" s="2" t="s">
        <v>206</v>
      </c>
      <c r="K118" s="2" t="s">
        <v>423</v>
      </c>
      <c r="L118" s="2" t="s">
        <v>80</v>
      </c>
      <c r="M118" s="2">
        <v>2040</v>
      </c>
      <c r="N118" s="2">
        <v>1444</v>
      </c>
      <c r="O118" s="2">
        <v>2042</v>
      </c>
    </row>
    <row r="119" spans="2:17" x14ac:dyDescent="0.25">
      <c r="B119" t="s">
        <v>107</v>
      </c>
      <c r="C119" t="s">
        <v>109</v>
      </c>
      <c r="D119" t="s">
        <v>246</v>
      </c>
      <c r="E119" t="s">
        <v>80</v>
      </c>
      <c r="F119">
        <v>0</v>
      </c>
      <c r="G119">
        <v>0</v>
      </c>
      <c r="H119">
        <v>2042</v>
      </c>
      <c r="I119" s="2" t="s">
        <v>107</v>
      </c>
      <c r="J119" s="2" t="s">
        <v>207</v>
      </c>
      <c r="K119" s="2" t="s">
        <v>424</v>
      </c>
      <c r="L119" s="2" t="s">
        <v>80</v>
      </c>
      <c r="M119" s="2">
        <v>2040</v>
      </c>
      <c r="N119" s="2">
        <v>1440</v>
      </c>
      <c r="O119" s="2">
        <v>2042</v>
      </c>
    </row>
    <row r="120" spans="2:17" x14ac:dyDescent="0.25">
      <c r="B120" t="s">
        <v>107</v>
      </c>
      <c r="C120" t="s">
        <v>109</v>
      </c>
      <c r="D120" t="s">
        <v>318</v>
      </c>
      <c r="E120" t="s">
        <v>80</v>
      </c>
      <c r="F120">
        <v>0</v>
      </c>
      <c r="G120">
        <v>0</v>
      </c>
      <c r="H120">
        <v>10234</v>
      </c>
      <c r="I120" s="2" t="s">
        <v>107</v>
      </c>
      <c r="J120" s="2" t="s">
        <v>201</v>
      </c>
      <c r="K120" s="2" t="s">
        <v>418</v>
      </c>
      <c r="L120" s="2" t="s">
        <v>80</v>
      </c>
      <c r="M120" s="2">
        <v>10232</v>
      </c>
      <c r="N120" s="2">
        <v>7320</v>
      </c>
      <c r="O120" s="2">
        <v>10234</v>
      </c>
    </row>
    <row r="121" spans="2:17" x14ac:dyDescent="0.25">
      <c r="B121" t="s">
        <v>107</v>
      </c>
      <c r="C121" t="s">
        <v>109</v>
      </c>
      <c r="D121" t="s">
        <v>319</v>
      </c>
      <c r="E121" t="s">
        <v>80</v>
      </c>
      <c r="F121">
        <v>0</v>
      </c>
      <c r="G121">
        <v>0</v>
      </c>
      <c r="H121">
        <v>10234</v>
      </c>
      <c r="I121" s="2" t="s">
        <v>107</v>
      </c>
      <c r="J121" s="2" t="s">
        <v>202</v>
      </c>
      <c r="K121" s="2" t="s">
        <v>419</v>
      </c>
      <c r="L121" s="2" t="s">
        <v>80</v>
      </c>
      <c r="M121" s="2">
        <v>10232</v>
      </c>
      <c r="N121" s="2">
        <v>7324</v>
      </c>
      <c r="O121" s="2">
        <v>10234</v>
      </c>
      <c r="Q121">
        <f>SUM(M114:M121)</f>
        <v>32704</v>
      </c>
    </row>
    <row r="122" spans="2:17" x14ac:dyDescent="0.25">
      <c r="B122" t="s">
        <v>107</v>
      </c>
      <c r="C122" t="s">
        <v>109</v>
      </c>
      <c r="D122" t="s">
        <v>262</v>
      </c>
      <c r="E122" t="s">
        <v>80</v>
      </c>
      <c r="F122">
        <v>0</v>
      </c>
      <c r="G122">
        <v>0</v>
      </c>
      <c r="H122">
        <v>51194</v>
      </c>
      <c r="I122" s="1" t="s">
        <v>107</v>
      </c>
      <c r="J122" s="1" t="s">
        <v>231</v>
      </c>
      <c r="K122" s="1" t="s">
        <v>448</v>
      </c>
      <c r="L122" s="1" t="s">
        <v>80</v>
      </c>
      <c r="M122" s="1">
        <v>51192</v>
      </c>
      <c r="N122" s="1">
        <v>42300</v>
      </c>
      <c r="O122" s="1">
        <v>51194</v>
      </c>
    </row>
    <row r="123" spans="2:17" x14ac:dyDescent="0.25">
      <c r="B123" t="s">
        <v>107</v>
      </c>
      <c r="C123" t="s">
        <v>109</v>
      </c>
      <c r="D123" t="s">
        <v>263</v>
      </c>
      <c r="E123" t="s">
        <v>80</v>
      </c>
      <c r="F123">
        <v>0</v>
      </c>
      <c r="G123">
        <v>0</v>
      </c>
      <c r="H123">
        <v>51194</v>
      </c>
      <c r="I123" s="1" t="s">
        <v>107</v>
      </c>
      <c r="J123" s="1" t="s">
        <v>232</v>
      </c>
      <c r="K123" s="1" t="s">
        <v>449</v>
      </c>
      <c r="L123" s="1" t="s">
        <v>80</v>
      </c>
      <c r="M123" s="1">
        <v>51192</v>
      </c>
      <c r="N123" s="1">
        <v>42332</v>
      </c>
      <c r="O123" s="1">
        <v>51194</v>
      </c>
    </row>
    <row r="124" spans="2:17" x14ac:dyDescent="0.25">
      <c r="B124" t="s">
        <v>107</v>
      </c>
      <c r="C124" t="s">
        <v>109</v>
      </c>
      <c r="D124" t="s">
        <v>264</v>
      </c>
      <c r="E124" t="s">
        <v>80</v>
      </c>
      <c r="F124">
        <v>0</v>
      </c>
      <c r="G124">
        <v>0</v>
      </c>
      <c r="H124">
        <v>51194</v>
      </c>
      <c r="I124" s="1" t="s">
        <v>107</v>
      </c>
      <c r="J124" s="1" t="s">
        <v>233</v>
      </c>
      <c r="K124" s="1" t="s">
        <v>450</v>
      </c>
      <c r="L124" s="1" t="s">
        <v>80</v>
      </c>
      <c r="M124" s="1">
        <v>51192</v>
      </c>
      <c r="N124" s="1">
        <v>42304</v>
      </c>
      <c r="O124" s="1">
        <v>51194</v>
      </c>
    </row>
    <row r="125" spans="2:17" x14ac:dyDescent="0.25">
      <c r="B125" t="s">
        <v>107</v>
      </c>
      <c r="C125" t="s">
        <v>109</v>
      </c>
      <c r="D125" t="s">
        <v>265</v>
      </c>
      <c r="E125" t="s">
        <v>80</v>
      </c>
      <c r="F125">
        <v>0</v>
      </c>
      <c r="G125">
        <v>0</v>
      </c>
      <c r="H125">
        <v>51194</v>
      </c>
      <c r="I125" s="1" t="s">
        <v>107</v>
      </c>
      <c r="J125" s="1" t="s">
        <v>234</v>
      </c>
      <c r="K125" s="1" t="s">
        <v>451</v>
      </c>
      <c r="L125" s="1" t="s">
        <v>80</v>
      </c>
      <c r="M125" s="1">
        <v>51192</v>
      </c>
      <c r="N125" s="1">
        <v>42300</v>
      </c>
      <c r="O125" s="1">
        <v>51194</v>
      </c>
    </row>
    <row r="126" spans="2:17" x14ac:dyDescent="0.25">
      <c r="B126" t="s">
        <v>107</v>
      </c>
      <c r="C126" t="s">
        <v>109</v>
      </c>
      <c r="D126" t="s">
        <v>266</v>
      </c>
      <c r="E126" t="s">
        <v>80</v>
      </c>
      <c r="F126">
        <v>0</v>
      </c>
      <c r="G126">
        <v>0</v>
      </c>
      <c r="H126">
        <v>51194</v>
      </c>
      <c r="I126" s="1" t="s">
        <v>107</v>
      </c>
      <c r="J126" s="1" t="s">
        <v>235</v>
      </c>
      <c r="K126" s="1" t="s">
        <v>452</v>
      </c>
      <c r="L126" s="1" t="s">
        <v>80</v>
      </c>
      <c r="M126" s="1">
        <v>51192</v>
      </c>
      <c r="N126" s="1">
        <v>42320</v>
      </c>
      <c r="O126" s="1">
        <v>51194</v>
      </c>
    </row>
    <row r="127" spans="2:17" x14ac:dyDescent="0.25">
      <c r="B127" t="s">
        <v>107</v>
      </c>
      <c r="C127" t="s">
        <v>109</v>
      </c>
      <c r="D127" t="s">
        <v>267</v>
      </c>
      <c r="E127" t="s">
        <v>80</v>
      </c>
      <c r="F127">
        <v>0</v>
      </c>
      <c r="G127">
        <v>0</v>
      </c>
      <c r="H127">
        <v>51194</v>
      </c>
      <c r="I127" s="1" t="s">
        <v>107</v>
      </c>
      <c r="J127" s="1" t="s">
        <v>236</v>
      </c>
      <c r="K127" s="1" t="s">
        <v>453</v>
      </c>
      <c r="L127" s="1" t="s">
        <v>80</v>
      </c>
      <c r="M127" s="1">
        <v>51192</v>
      </c>
      <c r="N127" s="1">
        <v>42276</v>
      </c>
      <c r="O127" s="1">
        <v>51194</v>
      </c>
    </row>
    <row r="128" spans="2:17" x14ac:dyDescent="0.25">
      <c r="B128" t="s">
        <v>107</v>
      </c>
      <c r="C128" t="s">
        <v>109</v>
      </c>
      <c r="D128" t="s">
        <v>268</v>
      </c>
      <c r="E128" t="s">
        <v>80</v>
      </c>
      <c r="F128">
        <v>0</v>
      </c>
      <c r="G128">
        <v>0</v>
      </c>
      <c r="H128">
        <v>51194</v>
      </c>
      <c r="I128" s="1" t="s">
        <v>107</v>
      </c>
      <c r="J128" s="1" t="s">
        <v>237</v>
      </c>
      <c r="K128" s="1" t="s">
        <v>454</v>
      </c>
      <c r="L128" s="1" t="s">
        <v>80</v>
      </c>
      <c r="M128" s="1">
        <v>51192</v>
      </c>
      <c r="N128" s="1">
        <v>42300</v>
      </c>
      <c r="O128" s="1">
        <v>51194</v>
      </c>
      <c r="Q128">
        <f>SUM(M122:M128)</f>
        <v>358344</v>
      </c>
    </row>
    <row r="129" spans="2:17" x14ac:dyDescent="0.25">
      <c r="B129" t="s">
        <v>107</v>
      </c>
      <c r="C129" t="s">
        <v>109</v>
      </c>
      <c r="D129" t="s">
        <v>240</v>
      </c>
      <c r="E129" t="s">
        <v>80</v>
      </c>
      <c r="F129">
        <v>0</v>
      </c>
      <c r="G129">
        <v>0</v>
      </c>
      <c r="H129">
        <v>1018</v>
      </c>
      <c r="I129" s="2" t="s">
        <v>107</v>
      </c>
      <c r="J129" s="2" t="s">
        <v>151</v>
      </c>
      <c r="K129" s="2" t="s">
        <v>368</v>
      </c>
      <c r="L129" s="2" t="s">
        <v>80</v>
      </c>
      <c r="M129" s="2">
        <v>1016</v>
      </c>
      <c r="N129" s="2">
        <v>916</v>
      </c>
      <c r="O129" s="2">
        <v>1018</v>
      </c>
      <c r="Q129" s="2">
        <v>1016</v>
      </c>
    </row>
    <row r="130" spans="2:17" x14ac:dyDescent="0.25">
      <c r="B130" t="s">
        <v>107</v>
      </c>
      <c r="C130" t="s">
        <v>109</v>
      </c>
      <c r="D130" t="s">
        <v>324</v>
      </c>
      <c r="E130" t="s">
        <v>80</v>
      </c>
      <c r="F130">
        <v>0</v>
      </c>
      <c r="G130">
        <v>0</v>
      </c>
      <c r="H130">
        <v>102394</v>
      </c>
      <c r="I130" s="1" t="s">
        <v>107</v>
      </c>
      <c r="J130" s="1" t="s">
        <v>208</v>
      </c>
      <c r="K130" s="1" t="s">
        <v>425</v>
      </c>
      <c r="L130" s="1" t="s">
        <v>80</v>
      </c>
      <c r="M130" s="1">
        <v>102392</v>
      </c>
      <c r="N130" s="1">
        <v>40900</v>
      </c>
      <c r="O130" s="1">
        <v>102394</v>
      </c>
    </row>
    <row r="131" spans="2:17" x14ac:dyDescent="0.25">
      <c r="B131" t="s">
        <v>107</v>
      </c>
      <c r="C131" t="s">
        <v>109</v>
      </c>
      <c r="D131" t="s">
        <v>325</v>
      </c>
      <c r="E131" t="s">
        <v>80</v>
      </c>
      <c r="F131">
        <v>0</v>
      </c>
      <c r="G131">
        <v>0</v>
      </c>
      <c r="H131">
        <v>102394</v>
      </c>
      <c r="I131" s="1" t="s">
        <v>107</v>
      </c>
      <c r="J131" s="1" t="s">
        <v>209</v>
      </c>
      <c r="K131" s="1" t="s">
        <v>426</v>
      </c>
      <c r="L131" s="1" t="s">
        <v>80</v>
      </c>
      <c r="M131" s="1">
        <v>102392</v>
      </c>
      <c r="N131" s="1">
        <v>40884</v>
      </c>
      <c r="O131" s="1">
        <v>102394</v>
      </c>
    </row>
    <row r="132" spans="2:17" x14ac:dyDescent="0.25">
      <c r="B132" t="s">
        <v>107</v>
      </c>
      <c r="C132" t="s">
        <v>109</v>
      </c>
      <c r="D132" t="s">
        <v>326</v>
      </c>
      <c r="E132" t="s">
        <v>80</v>
      </c>
      <c r="F132">
        <v>0</v>
      </c>
      <c r="G132">
        <v>0</v>
      </c>
      <c r="H132">
        <v>102394</v>
      </c>
      <c r="I132" s="1" t="s">
        <v>107</v>
      </c>
      <c r="J132" s="1" t="s">
        <v>210</v>
      </c>
      <c r="K132" s="1" t="s">
        <v>427</v>
      </c>
      <c r="L132" s="1" t="s">
        <v>80</v>
      </c>
      <c r="M132" s="1">
        <v>102392</v>
      </c>
      <c r="N132" s="1">
        <v>40908</v>
      </c>
      <c r="O132" s="1">
        <v>102394</v>
      </c>
      <c r="Q132">
        <f>SUM(M130:M132)</f>
        <v>307176</v>
      </c>
    </row>
    <row r="134" spans="2:17" x14ac:dyDescent="0.25">
      <c r="M134">
        <f>SUM(M5:M133)</f>
        <v>7927808</v>
      </c>
      <c r="Q134">
        <f>SUM(Q5:Q133)</f>
        <v>7968701.8282775879</v>
      </c>
    </row>
    <row r="138" spans="2:17" x14ac:dyDescent="0.25">
      <c r="C138" t="s">
        <v>88</v>
      </c>
      <c r="D138" t="s">
        <v>455</v>
      </c>
      <c r="E138" t="s">
        <v>95</v>
      </c>
      <c r="F138" t="s">
        <v>97</v>
      </c>
      <c r="G138" t="s">
        <v>99</v>
      </c>
      <c r="H138" t="s">
        <v>83</v>
      </c>
    </row>
    <row r="139" spans="2:17" x14ac:dyDescent="0.25">
      <c r="C139" t="s">
        <v>4</v>
      </c>
      <c r="D139" t="s">
        <v>1</v>
      </c>
      <c r="E139" t="s">
        <v>84</v>
      </c>
      <c r="F139" t="s">
        <v>79</v>
      </c>
      <c r="G139" t="s">
        <v>100</v>
      </c>
      <c r="H139" t="s">
        <v>100</v>
      </c>
    </row>
    <row r="140" spans="2:17" x14ac:dyDescent="0.25">
      <c r="C140">
        <v>1</v>
      </c>
      <c r="D140" t="s">
        <v>456</v>
      </c>
      <c r="E140" t="s">
        <v>96</v>
      </c>
      <c r="F140" t="s">
        <v>98</v>
      </c>
      <c r="G140">
        <v>1016</v>
      </c>
      <c r="H140">
        <v>916</v>
      </c>
      <c r="J140" t="s">
        <v>465</v>
      </c>
    </row>
    <row r="141" spans="2:17" s="5" customFormat="1" x14ac:dyDescent="0.25">
      <c r="C141" s="5">
        <v>2</v>
      </c>
      <c r="D141" s="5" t="s">
        <v>457</v>
      </c>
      <c r="E141" s="5" t="s">
        <v>96</v>
      </c>
      <c r="F141" s="5" t="s">
        <v>98</v>
      </c>
      <c r="G141" s="5">
        <v>7065048</v>
      </c>
      <c r="H141" s="5">
        <v>1185252</v>
      </c>
      <c r="J141" s="5" t="s">
        <v>483</v>
      </c>
      <c r="K141" s="6" t="s">
        <v>468</v>
      </c>
    </row>
    <row r="142" spans="2:17" s="5" customFormat="1" x14ac:dyDescent="0.25">
      <c r="C142" s="5">
        <v>3</v>
      </c>
      <c r="D142" s="5" t="s">
        <v>458</v>
      </c>
      <c r="E142" s="5" t="s">
        <v>96</v>
      </c>
      <c r="F142" s="5" t="s">
        <v>98</v>
      </c>
      <c r="G142" s="5">
        <v>32704</v>
      </c>
      <c r="H142" s="5">
        <v>23304</v>
      </c>
      <c r="J142" s="5" t="s">
        <v>466</v>
      </c>
      <c r="K142" s="6" t="s">
        <v>468</v>
      </c>
    </row>
    <row r="143" spans="2:17" s="5" customFormat="1" x14ac:dyDescent="0.25">
      <c r="C143" s="5">
        <v>4</v>
      </c>
      <c r="D143" s="5" t="s">
        <v>459</v>
      </c>
      <c r="E143" s="5" t="s">
        <v>96</v>
      </c>
      <c r="F143" s="5" t="s">
        <v>98</v>
      </c>
      <c r="G143" s="5">
        <v>307176</v>
      </c>
      <c r="H143" s="5">
        <v>122692</v>
      </c>
      <c r="J143" s="5" t="s">
        <v>467</v>
      </c>
      <c r="K143" s="6"/>
    </row>
    <row r="144" spans="2:17" s="5" customFormat="1" x14ac:dyDescent="0.25">
      <c r="C144" s="5">
        <v>5</v>
      </c>
      <c r="D144" s="5" t="s">
        <v>460</v>
      </c>
      <c r="E144" s="5" t="s">
        <v>96</v>
      </c>
      <c r="F144" s="5" t="s">
        <v>98</v>
      </c>
      <c r="G144" s="5">
        <v>40880</v>
      </c>
      <c r="H144" s="5">
        <v>24876</v>
      </c>
      <c r="J144" s="5" t="s">
        <v>484</v>
      </c>
      <c r="K144" s="6" t="s">
        <v>468</v>
      </c>
      <c r="M144" s="5">
        <f>4*1024</f>
        <v>4096</v>
      </c>
    </row>
    <row r="145" spans="3:16" s="5" customFormat="1" x14ac:dyDescent="0.25">
      <c r="C145" s="5">
        <v>6</v>
      </c>
      <c r="D145" s="5" t="s">
        <v>461</v>
      </c>
      <c r="E145" s="5" t="s">
        <v>96</v>
      </c>
      <c r="F145" s="5" t="s">
        <v>98</v>
      </c>
      <c r="G145" s="5">
        <v>40880</v>
      </c>
      <c r="H145" s="5">
        <v>24876</v>
      </c>
      <c r="J145" s="5" t="s">
        <v>484</v>
      </c>
      <c r="K145" s="6" t="s">
        <v>468</v>
      </c>
      <c r="P145" s="5">
        <f>G141-H141</f>
        <v>5879796</v>
      </c>
    </row>
    <row r="146" spans="3:16" s="5" customFormat="1" x14ac:dyDescent="0.25">
      <c r="C146" s="5">
        <v>7</v>
      </c>
      <c r="D146" s="5" t="s">
        <v>462</v>
      </c>
      <c r="E146" s="5" t="s">
        <v>96</v>
      </c>
      <c r="F146" s="5" t="s">
        <v>98</v>
      </c>
      <c r="G146" s="5">
        <v>40880</v>
      </c>
      <c r="H146" s="5">
        <v>24876</v>
      </c>
      <c r="J146" s="5" t="s">
        <v>484</v>
      </c>
      <c r="K146" s="6" t="s">
        <v>468</v>
      </c>
    </row>
    <row r="147" spans="3:16" s="5" customFormat="1" x14ac:dyDescent="0.25">
      <c r="C147" s="5">
        <v>8</v>
      </c>
      <c r="D147" s="5" t="s">
        <v>463</v>
      </c>
      <c r="E147" s="5" t="s">
        <v>96</v>
      </c>
      <c r="F147" s="5" t="s">
        <v>98</v>
      </c>
      <c r="G147" s="5">
        <v>40880</v>
      </c>
      <c r="H147" s="5">
        <v>25296</v>
      </c>
      <c r="J147" s="5" t="s">
        <v>484</v>
      </c>
      <c r="K147" s="6" t="s">
        <v>468</v>
      </c>
    </row>
    <row r="148" spans="3:16" s="5" customFormat="1" x14ac:dyDescent="0.25">
      <c r="C148" s="5">
        <v>9</v>
      </c>
      <c r="D148" s="5" t="s">
        <v>464</v>
      </c>
      <c r="E148" s="5" t="s">
        <v>96</v>
      </c>
      <c r="F148" s="5" t="s">
        <v>98</v>
      </c>
      <c r="G148" s="5">
        <v>358344</v>
      </c>
      <c r="H148" s="5">
        <v>282884</v>
      </c>
      <c r="J148" s="5" t="s">
        <v>467</v>
      </c>
      <c r="K148" s="6" t="s">
        <v>468</v>
      </c>
      <c r="O148" s="5">
        <f>6675720-P145</f>
        <v>795924</v>
      </c>
    </row>
    <row r="150" spans="3:16" x14ac:dyDescent="0.25">
      <c r="O150">
        <v>7152555</v>
      </c>
    </row>
    <row r="152" spans="3:16" x14ac:dyDescent="0.25">
      <c r="J152">
        <f>70/5</f>
        <v>14</v>
      </c>
      <c r="K152">
        <f>14*500000</f>
        <v>7000000</v>
      </c>
      <c r="O152">
        <f>O150-P145</f>
        <v>1272759</v>
      </c>
    </row>
    <row r="153" spans="3:16" x14ac:dyDescent="0.25">
      <c r="K153">
        <f>15*500</f>
        <v>7500</v>
      </c>
    </row>
    <row r="155" spans="3:16" x14ac:dyDescent="0.25">
      <c r="D155" s="7">
        <f>(14*500)</f>
        <v>7000</v>
      </c>
      <c r="E155" s="8"/>
    </row>
    <row r="156" spans="3:16" x14ac:dyDescent="0.25">
      <c r="D156" s="7">
        <f>(3*100)</f>
        <v>300</v>
      </c>
      <c r="E156" s="8"/>
      <c r="H156">
        <f>7000*1024</f>
        <v>7168000</v>
      </c>
    </row>
    <row r="157" spans="3:16" x14ac:dyDescent="0.25">
      <c r="D157" s="7">
        <f>(3*100)</f>
        <v>300</v>
      </c>
      <c r="E157" s="8"/>
    </row>
    <row r="158" spans="3:16" x14ac:dyDescent="0.25">
      <c r="D158" s="7">
        <v>20</v>
      </c>
      <c r="E158" s="8"/>
    </row>
    <row r="159" spans="3:16" x14ac:dyDescent="0.25">
      <c r="D159" s="7">
        <f>(4*10)</f>
        <v>40</v>
      </c>
      <c r="E159" s="8"/>
    </row>
    <row r="160" spans="3:16" x14ac:dyDescent="0.25">
      <c r="D160" s="7">
        <f t="shared" ref="D160:D162" si="0">(4*10)</f>
        <v>40</v>
      </c>
      <c r="E160" s="8"/>
    </row>
    <row r="161" spans="3:5" x14ac:dyDescent="0.25">
      <c r="D161" s="7">
        <f t="shared" si="0"/>
        <v>40</v>
      </c>
      <c r="E161" s="8"/>
    </row>
    <row r="162" spans="3:5" x14ac:dyDescent="0.25">
      <c r="D162" s="7">
        <f t="shared" si="0"/>
        <v>40</v>
      </c>
      <c r="E162" s="8"/>
    </row>
    <row r="163" spans="3:5" x14ac:dyDescent="0.25">
      <c r="E163">
        <f>SUM(D155:E162)</f>
        <v>7780</v>
      </c>
    </row>
    <row r="168" spans="3:5" x14ac:dyDescent="0.25">
      <c r="C168" s="9">
        <v>100</v>
      </c>
    </row>
    <row r="169" spans="3:5" x14ac:dyDescent="0.25">
      <c r="C169" s="9">
        <v>100</v>
      </c>
    </row>
    <row r="170" spans="3:5" x14ac:dyDescent="0.25">
      <c r="C170" s="9">
        <v>100</v>
      </c>
    </row>
    <row r="171" spans="3:5" x14ac:dyDescent="0.25">
      <c r="C171" s="9">
        <v>100</v>
      </c>
    </row>
    <row r="172" spans="3:5" x14ac:dyDescent="0.25">
      <c r="C172" s="9">
        <v>100</v>
      </c>
    </row>
    <row r="173" spans="3:5" x14ac:dyDescent="0.25">
      <c r="C173" s="9">
        <v>100</v>
      </c>
    </row>
    <row r="174" spans="3:5" x14ac:dyDescent="0.25">
      <c r="C174" s="9">
        <v>100</v>
      </c>
    </row>
    <row r="175" spans="3:5" x14ac:dyDescent="0.25">
      <c r="C175" s="9">
        <v>10</v>
      </c>
    </row>
    <row r="176" spans="3:5" x14ac:dyDescent="0.25">
      <c r="C176" s="9">
        <v>10</v>
      </c>
    </row>
    <row r="177" spans="3:3" x14ac:dyDescent="0.25">
      <c r="C177" s="9">
        <v>10</v>
      </c>
    </row>
    <row r="178" spans="3:3" x14ac:dyDescent="0.25">
      <c r="C178" s="9">
        <v>10</v>
      </c>
    </row>
    <row r="179" spans="3:3" x14ac:dyDescent="0.25">
      <c r="C179" s="9">
        <v>10</v>
      </c>
    </row>
    <row r="180" spans="3:3" x14ac:dyDescent="0.25">
      <c r="C180" s="9">
        <v>10</v>
      </c>
    </row>
    <row r="181" spans="3:3" x14ac:dyDescent="0.25">
      <c r="C181" s="9">
        <v>10</v>
      </c>
    </row>
    <row r="182" spans="3:3" x14ac:dyDescent="0.25">
      <c r="C182" s="9">
        <v>10</v>
      </c>
    </row>
    <row r="183" spans="3:3" x14ac:dyDescent="0.25">
      <c r="C183" s="9">
        <v>10</v>
      </c>
    </row>
    <row r="184" spans="3:3" x14ac:dyDescent="0.25">
      <c r="C184" s="9">
        <v>10</v>
      </c>
    </row>
    <row r="185" spans="3:3" x14ac:dyDescent="0.25">
      <c r="C185" s="9">
        <v>10</v>
      </c>
    </row>
    <row r="186" spans="3:3" x14ac:dyDescent="0.25">
      <c r="C186" s="9">
        <v>10</v>
      </c>
    </row>
    <row r="187" spans="3:3" x14ac:dyDescent="0.25">
      <c r="C187" s="9">
        <v>10</v>
      </c>
    </row>
    <row r="188" spans="3:3" x14ac:dyDescent="0.25">
      <c r="C188" s="9">
        <v>10</v>
      </c>
    </row>
    <row r="189" spans="3:3" x14ac:dyDescent="0.25">
      <c r="C189" s="9">
        <v>10</v>
      </c>
    </row>
    <row r="190" spans="3:3" x14ac:dyDescent="0.25">
      <c r="C190" s="9">
        <v>10</v>
      </c>
    </row>
    <row r="191" spans="3:3" x14ac:dyDescent="0.25">
      <c r="C191" s="9">
        <v>10</v>
      </c>
    </row>
    <row r="192" spans="3:3" x14ac:dyDescent="0.25">
      <c r="C192" s="9">
        <v>10</v>
      </c>
    </row>
    <row r="193" spans="3:5" x14ac:dyDescent="0.25">
      <c r="C193" s="9">
        <v>1</v>
      </c>
    </row>
    <row r="194" spans="3:5" x14ac:dyDescent="0.25">
      <c r="C194" s="9">
        <v>1</v>
      </c>
    </row>
    <row r="195" spans="3:5" x14ac:dyDescent="0.25">
      <c r="C195" s="3">
        <v>499.66</v>
      </c>
    </row>
    <row r="196" spans="3:5" x14ac:dyDescent="0.25">
      <c r="C196" s="3">
        <v>499.66</v>
      </c>
    </row>
    <row r="197" spans="3:5" x14ac:dyDescent="0.25">
      <c r="C197" s="3">
        <v>499.66</v>
      </c>
    </row>
    <row r="198" spans="3:5" x14ac:dyDescent="0.25">
      <c r="C198" s="3">
        <v>499.66</v>
      </c>
    </row>
    <row r="199" spans="3:5" x14ac:dyDescent="0.25">
      <c r="C199" s="3">
        <v>499.66</v>
      </c>
    </row>
    <row r="200" spans="3:5" x14ac:dyDescent="0.25">
      <c r="C200" s="3">
        <v>499.66</v>
      </c>
    </row>
    <row r="201" spans="3:5" x14ac:dyDescent="0.25">
      <c r="C201" s="3">
        <v>499.66</v>
      </c>
    </row>
    <row r="202" spans="3:5" x14ac:dyDescent="0.25">
      <c r="C202" s="3">
        <v>499.66</v>
      </c>
    </row>
    <row r="203" spans="3:5" x14ac:dyDescent="0.25">
      <c r="C203" s="3">
        <v>499.66</v>
      </c>
    </row>
    <row r="204" spans="3:5" x14ac:dyDescent="0.25">
      <c r="C204" s="3">
        <v>499.66</v>
      </c>
    </row>
    <row r="205" spans="3:5" x14ac:dyDescent="0.25">
      <c r="C205" s="3">
        <v>499.66</v>
      </c>
    </row>
    <row r="206" spans="3:5" x14ac:dyDescent="0.25">
      <c r="C206" s="3">
        <v>499.66</v>
      </c>
    </row>
    <row r="207" spans="3:5" x14ac:dyDescent="0.25">
      <c r="C207" s="3">
        <v>499.66</v>
      </c>
      <c r="E207">
        <f>C207+C206+C205+C204+C203+C202+C201+C200+C199+C198+C197+C196+C195+C208</f>
        <v>6995.2399999999989</v>
      </c>
    </row>
    <row r="208" spans="3:5" x14ac:dyDescent="0.25">
      <c r="C208" s="3">
        <v>499.66</v>
      </c>
    </row>
    <row r="210" spans="4:4" x14ac:dyDescent="0.25">
      <c r="D210" s="10">
        <f>SUM(C195:C208)</f>
        <v>6995.2399999999989</v>
      </c>
    </row>
    <row r="211" spans="4:4" x14ac:dyDescent="0.25">
      <c r="D211" s="9">
        <f>SUM(C195:C208)</f>
        <v>6995.2399999999989</v>
      </c>
    </row>
  </sheetData>
  <mergeCells count="8">
    <mergeCell ref="D161:E161"/>
    <mergeCell ref="D162:E162"/>
    <mergeCell ref="D155:E155"/>
    <mergeCell ref="D156:E156"/>
    <mergeCell ref="D157:E157"/>
    <mergeCell ref="D158:E158"/>
    <mergeCell ref="D159:E159"/>
    <mergeCell ref="D160:E1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Jessika Rodriguez</dc:creator>
  <cp:lastModifiedBy>Jessika Rodriguez</cp:lastModifiedBy>
  <dcterms:created xsi:type="dcterms:W3CDTF">2024-06-04T17:18:10Z</dcterms:created>
  <dcterms:modified xsi:type="dcterms:W3CDTF">2024-06-12T15:13:44Z</dcterms:modified>
</cp:coreProperties>
</file>